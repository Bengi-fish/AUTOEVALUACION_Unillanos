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MI" sheetId="1" r:id="rId4"/>
    <sheet state="visible" name="Plan mejoramiento" sheetId="2" r:id="rId5"/>
    <sheet state="visible" name="2024-2" sheetId="3" r:id="rId6"/>
    <sheet state="visible" name="2025-1" sheetId="4" r:id="rId7"/>
    <sheet state="visible" name="2025-2" sheetId="5" r:id="rId8"/>
    <sheet state="visible" name="2026-1" sheetId="6" r:id="rId9"/>
    <sheet state="visible" name="2026-2" sheetId="7" r:id="rId10"/>
    <sheet state="visible" name="2027-1" sheetId="8" r:id="rId11"/>
    <sheet state="visible" name="2027-2" sheetId="9" r:id="rId12"/>
    <sheet state="visible" name="2028-1" sheetId="10" r:id="rId13"/>
    <sheet state="visible" name="2028-2" sheetId="11" r:id="rId14"/>
    <sheet state="visible" name="2029-1" sheetId="12" r:id="rId15"/>
    <sheet state="visible" name="2029-2" sheetId="13" r:id="rId16"/>
    <sheet state="visible" name="2030-1" sheetId="14" r:id="rId17"/>
    <sheet state="visible" name="2030-2" sheetId="15" r:id="rId18"/>
    <sheet state="hidden" name="Listas" sheetId="16" r:id="rId19"/>
  </sheets>
  <definedNames>
    <definedName name="FCARN">Listas!$M$4:$M$9</definedName>
    <definedName localSheetId="1" name="DEBILIDADOFORTALEZA">#REF!</definedName>
    <definedName name="FORMACION">#REF!</definedName>
    <definedName name="FCHYEuno">#REF!</definedName>
    <definedName name="Doctorado">#REF!</definedName>
    <definedName name="Maestria">#REF!</definedName>
    <definedName name="FCARNcuatro">#REF!</definedName>
    <definedName localSheetId="0" name="DEBILIDADOFORTALEZA">#REF!</definedName>
    <definedName name="FACULTADES">Listas!$B$4:$B$8</definedName>
    <definedName name="Pregrado">#REF!</definedName>
    <definedName name="FCE">Listas!$J$4:$J$9</definedName>
    <definedName name="FCEdos">#REF!</definedName>
    <definedName name="FCHYEtres">#REF!</definedName>
    <definedName name="Especializacion">#REF!</definedName>
    <definedName name="FCHYE">Listas!$Q$4:$Q$8</definedName>
    <definedName name="FCS">Listas!$D$4:$D$9</definedName>
    <definedName name="FCHYEdos">#REF!</definedName>
    <definedName name="FCARNuno">#REF!</definedName>
    <definedName name="FCBIuno">#REF!</definedName>
    <definedName localSheetId="2" name="DEBILIDADOFORTALEZA">#REF!</definedName>
    <definedName name="FCARNtres">#REF!</definedName>
    <definedName name="FCEtres">#REF!</definedName>
    <definedName name="FCARNdos">#REF!</definedName>
    <definedName name="FCStres">#REF!</definedName>
    <definedName name="FCBI">Listas!$G$4:$G$9</definedName>
    <definedName name="FCBItres">#REF!</definedName>
    <definedName name="FCSdos">#REF!</definedName>
    <definedName name="DEBILIDADOFORTALEZA">#REF!</definedName>
    <definedName name="FCSuno">#REF!</definedName>
    <definedName name="FCBIdos">#REF!</definedName>
    <definedName name="FCEuno">#REF!</definedName>
    <definedName hidden="1" name="Google_Sheet_Link_1217738912">FACULTADES</definedName>
    <definedName hidden="1" name="Google_Sheet_Link_16758866">FCHYE</definedName>
    <definedName hidden="1" name="Google_Sheet_Link_2011828096">FCS</definedName>
    <definedName hidden="1" name="Google_Sheet_Link_516758248">FCBI</definedName>
    <definedName hidden="1" name="Google_Sheet_Link_577822945">FCARN</definedName>
    <definedName hidden="1" name="Google_Sheet_Link_929851927">FCE</definedName>
  </definedNames>
  <calcPr/>
  <extLst>
    <ext uri="GoogleSheetsCustomDataVersion2">
      <go:sheetsCustomData xmlns:go="http://customooxmlschemas.google.com/" r:id="rId20" roundtripDataChecksum="Ra7FStHaH3sS/sMdIIXKiVzBTjL8TbLEdjoh6xAh2/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1">
      <text>
        <t xml:space="preserve">======
ID#AAAA0K0_OPA
Oficina de Planeación ullanos    (2023-06-30 16:23:13)
Verificar línea base</t>
      </text>
    </comment>
    <comment authorId="0" ref="H8">
      <text>
        <t xml:space="preserve">======
ID#AAAA0K0_OLw
Parámetro de medición de la meta que muestra que ella sea alcanzada, ejemplos    (2023-06-30 15:24:43)
• “Número de formularios de captura de información diligenciados por parte de los egresados”
• “Número de registros digitados en la base de datos”
• “Número de contactos a nivel nacional de los egresados”</t>
      </text>
    </comment>
    <comment authorId="0" ref="K10">
      <text>
        <t xml:space="preserve">======
ID#AAABOKJbOOA
Oficina de Planeación ullanos    (2024-06-13 14:39:06)
Profesores por favor verificar promedio de los últimos cinco años</t>
      </text>
    </comment>
    <comment authorId="0" ref="H5">
      <text>
        <t xml:space="preserve">======
ID#AAAA0K0_ONs
    (2023-06-30 15:24:43)
Indique el número de proceso de autoevaluación que se está desarrollando.</t>
      </text>
    </comment>
    <comment authorId="0" ref="P9">
      <text>
        <t xml:space="preserve">======
ID#AAABP7MvdYM
Oficina de Planeación ullanos    (2024-06-17 15:59:25)
Año donde se debe presentar informe de avance al CNA</t>
      </text>
    </comment>
    <comment authorId="0" ref="U8">
      <text>
        <t xml:space="preserve">======
ID#AAAA0Kx58Ls
    (2023-06-30 15:24:43)
Ingrese la unidad académica o administrativa responsable del cumplimiento de la oportunidad de mejora</t>
      </text>
    </comment>
    <comment authorId="0" ref="D18">
      <text>
        <t xml:space="preserve">¿Como desde OIRI se va a trabajar un proyecto de investigación en el marco de la cooperación?
======</t>
      </text>
    </comment>
    <comment authorId="0" ref="G21">
      <text>
        <t xml:space="preserve">======
ID#AAABOKJbOOc
Oficina de Planeación ullanos    (2024-06-13 15:09:15)
Profesores el promedio de número de estudiantes a partir del V a X semestre es de: 80. Por tal motivo el 20% corresponde a 16 estudiantes</t>
      </text>
    </comment>
    <comment authorId="0" ref="K22">
      <text>
        <t xml:space="preserve">======
ID#AAABOKGNMLU
Oficina de Planeación ullanos    (2024-06-13 14:01:45)
Línea base de 2021-2</t>
      </text>
    </comment>
    <comment authorId="0" ref="G18">
      <text>
        <t xml:space="preserve">======
ID#AAAA0YIiKVA
Oficina de Planeación ullanos    (2023-07-04 13:29:19)
PMI - Meta 23-Aumentar a 15% la participación de profesores en redes académicas y científicas y en actividades de cooperación.</t>
      </text>
    </comment>
    <comment authorId="0" ref="G16">
      <text>
        <t xml:space="preserve">La meta de reacreditación es el 16% para llegar al óptimo (80%).
======</t>
      </text>
    </comment>
    <comment authorId="0" ref="G15">
      <text>
        <t xml:space="preserve">La meta de reacreditación es 20%.
======</t>
      </text>
    </comment>
    <comment authorId="0" ref="D11">
      <text>
        <t xml:space="preserve">======
ID#AAABOKGNMLY
Oficina de Planeación ullanos    (2024-06-13 14:04:28)
Actualizar que proyectos de 2024 le apuntan a la meta</t>
      </text>
    </comment>
    <comment authorId="0" ref="A8">
      <text>
        <t xml:space="preserve">======
ID#AAAA0Kx58ME
    (2023-06-30 15:24:43)
Describa el factor o condición de autoevaluación en donde se haya identificado la debilidad que requiera incluirse en el Plan de Mejoramiento. 
Se recomienda enunciar también el aspecto</t>
      </text>
    </comment>
    <comment authorId="0" ref="D10">
      <text>
        <t xml:space="preserve">Se debe tener institucionalmente un  proyecto de fomento de la Docencia
¿Qué proyecto tiene DGC ?
Se debe ajustar para 2025
======</t>
      </text>
    </comment>
    <comment authorId="0" ref="C8">
      <text>
        <t xml:space="preserve">======
ID#AAAA0K0_OOc
    (2023-06-30 15:24:43)
Situación dentro de la cual el proceso de autoevaluación muestra aspectos negativos o debilidades que tienen oportunidad de mejora</t>
      </text>
    </comment>
    <comment authorId="0" ref="D8">
      <text>
        <t xml:space="preserve">======
ID#AAAA0Kx58L0
    (2023-06-30 15:24:43)
Situación o problema que genera la oportunidad de mejora</t>
      </text>
    </comment>
    <comment authorId="0" ref="G10">
      <text>
        <t xml:space="preserve">======
ID#AAABOKJbOOE
Oficina de Planeación ullanos    (2024-06-13 14:40:01)
Profesores ajustar meta de acuerdo con el promedio verificado de los últimos cinco años</t>
      </text>
    </comment>
    <comment authorId="0" ref="E8">
      <text>
        <t xml:space="preserve">======
ID#AAAA0K0_OLM
    (2023-06-30 15:24:43)
Registrar el peso en porcentaje (%) que se le da a la oportunidad de mejora, con el objetivo de clasificar la importancia que tiene dicha acción dentro del total del Plan de Mejoramiento.
Se recomienda inicialmente sean diligenciadas todas las oportunidades de mejora para que al final se le asigne el peso con respecto al total del Plan de Mejoramiento. La suma de los pesos no debe superar el 100%</t>
      </text>
    </comment>
    <comment authorId="0" ref="K13">
      <text>
        <t xml:space="preserve">======
ID#AAAA0JfVtis
Programa Ingenieria Electronica    (2023-06-30 21:34:42)
12 administrativos</t>
      </text>
    </comment>
    <comment authorId="0" ref="F8">
      <text>
        <t xml:space="preserve">======
ID#AAAA0K0_OOw
    (2023-06-30 15:24:43)
Seleccionar si la meta que se plantea es de tipo Institucional o de Programa.</t>
      </text>
    </comment>
    <comment authorId="0" ref="K12">
      <text>
        <t xml:space="preserve">======
ID#AAAA0JfVtiw
Programa Ingenieria Electronica    (2023-06-30 21:34:55)
29 profesores</t>
      </text>
    </comment>
    <comment authorId="0" ref="G8">
      <text>
        <t xml:space="preserve">======
ID#AAAA0K0_OLc
    (2023-06-30 15:24:43)
Cada acción debe establecer una frontera ideal, que corresponde al momento en que la oportunidad de mejora es superada. Por tanto, la meta se debe plantear en términos cuantitativos de lo que se espera realizar en un tiempo determinado.</t>
      </text>
    </comment>
  </commentList>
  <extLst>
    <ext uri="GoogleSheetsCustomDataVersion2">
      <go:sheetsCustomData xmlns:go="http://customooxmlschemas.google.com/" r:id="rId1" roundtripDataSignature="AMtx7mhPv+MOBdBqwt3F9DiXNk0oLcdcm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9">
      <text>
        <t xml:space="preserve">======
ID#AAAA0K0_OL4
    (2023-06-30 15:24:43)
Son aquellas actividades que se han desarrollado en pro del cumplimiento de la oportunidad de mejora planteada.</t>
      </text>
    </comment>
    <comment authorId="0" ref="C8">
      <text>
        <t xml:space="preserve">======
ID#AAAA0Kx58MI
    (2023-06-30 15:24:43)
Indique el porcentaje (%) de avance de acuerdo a la meta planeada para el año. 
Recuerde que el valor no debe superar el 100%</t>
      </text>
    </comment>
    <comment authorId="0" ref="D8">
      <text>
        <t xml:space="preserve">======
ID#AAAA0K0_OLY
    (2023-06-30 15:24:43)
El monitoreo se realiza por parte del Comité de Programa y del Consejo de Facultad.</t>
      </text>
    </comment>
    <comment authorId="0" ref="E9">
      <text>
        <t xml:space="preserve">======
ID#AAAA0Kx58L4
    (2023-06-30 15:24:43)
Indique las evidencias que soportan la ejecución de las actividades para el cumplimiento de la meta</t>
      </text>
    </comment>
    <comment authorId="0" ref="F9">
      <text>
        <t xml:space="preserve">======
ID#AAAA0K0_OOs
    (2023-06-30 15:24:43)
Registre el resultado de la verificación de las actividades ejecutadas</t>
      </text>
    </comment>
    <comment authorId="0" ref="F8">
      <text>
        <t xml:space="preserve">======
ID#AAAA0K0_OLk
    (2023-06-30 15:24:43)
El seguimiento al plan de mejoramiento, se realiza por parte de la Oficina de Control Interno de Gestión</t>
      </text>
    </comment>
  </commentList>
  <extLst>
    <ext uri="GoogleSheetsCustomDataVersion2">
      <go:sheetsCustomData xmlns:go="http://customooxmlschemas.google.com/" r:id="rId1" roundtripDataSignature="AMtx7mji4xKzsUQ/JI14klUY6aI6dnLblg=="/>
    </ext>
  </extLst>
</comments>
</file>

<file path=xl/sharedStrings.xml><?xml version="1.0" encoding="utf-8"?>
<sst xmlns="http://schemas.openxmlformats.org/spreadsheetml/2006/main" count="644" uniqueCount="378">
  <si>
    <t>PROCESO DE GESTIÓN DE LA CALIDAD</t>
  </si>
  <si>
    <t>PLAN DE MEJORAMIENTO DE PROCESOS DE AUTOEVALUACIÓN</t>
  </si>
  <si>
    <r>
      <rPr>
        <rFont val="Arial"/>
        <b/>
        <i/>
        <color theme="1"/>
        <sz val="10.0"/>
      </rPr>
      <t>Código:</t>
    </r>
    <r>
      <rPr>
        <rFont val="Arial"/>
        <b val="0"/>
        <i/>
        <color theme="1"/>
        <sz val="10.0"/>
      </rPr>
      <t xml:space="preserve"> FO-GCL-20</t>
    </r>
  </si>
  <si>
    <r>
      <rPr>
        <rFont val="Arial"/>
        <b/>
        <i/>
        <color theme="1"/>
        <sz val="10.0"/>
      </rPr>
      <t>Código:</t>
    </r>
    <r>
      <rPr>
        <rFont val="Arial"/>
        <b val="0"/>
        <i/>
        <color theme="1"/>
        <sz val="10.0"/>
      </rPr>
      <t xml:space="preserve"> FO-GCL-20</t>
    </r>
  </si>
  <si>
    <t>PLAN DE MEJORAMIENTO  2024-2- 2030</t>
  </si>
  <si>
    <r>
      <rPr>
        <rFont val="Arial"/>
        <b/>
        <i/>
        <color theme="1"/>
        <sz val="10.0"/>
      </rPr>
      <t>Versión:</t>
    </r>
    <r>
      <rPr>
        <rFont val="Arial"/>
        <b val="0"/>
        <i/>
        <color theme="1"/>
        <sz val="10.0"/>
      </rPr>
      <t xml:space="preserve"> 03</t>
    </r>
  </si>
  <si>
    <r>
      <rPr>
        <rFont val="Arial"/>
        <b/>
        <i/>
        <color theme="1"/>
        <sz val="10.0"/>
      </rPr>
      <t>Versión:</t>
    </r>
    <r>
      <rPr>
        <rFont val="Arial"/>
        <b val="0"/>
        <i/>
        <color theme="1"/>
        <sz val="10.0"/>
      </rPr>
      <t xml:space="preserve"> 03</t>
    </r>
  </si>
  <si>
    <r>
      <rPr>
        <rFont val="Arial"/>
        <b/>
        <i/>
        <color theme="1"/>
        <sz val="10.0"/>
      </rPr>
      <t>Fecha de aprobación:</t>
    </r>
    <r>
      <rPr>
        <rFont val="Arial"/>
        <b val="0"/>
        <i/>
        <color theme="1"/>
        <sz val="10.0"/>
      </rPr>
      <t xml:space="preserve"> 14/06/2022</t>
    </r>
  </si>
  <si>
    <r>
      <rPr>
        <rFont val="Arial"/>
        <b/>
        <i/>
        <color theme="1"/>
        <sz val="10.0"/>
      </rPr>
      <t>Fecha de aprobación:</t>
    </r>
    <r>
      <rPr>
        <rFont val="Arial"/>
        <b val="0"/>
        <i/>
        <color theme="1"/>
        <sz val="10.0"/>
      </rPr>
      <t xml:space="preserve"> 14/06/2022</t>
    </r>
  </si>
  <si>
    <r>
      <rPr>
        <rFont val="Arial"/>
        <b/>
        <i/>
        <color theme="1"/>
        <sz val="10.0"/>
      </rPr>
      <t>Página:</t>
    </r>
    <r>
      <rPr>
        <rFont val="Arial"/>
        <b val="0"/>
        <i/>
        <color theme="1"/>
        <sz val="10.0"/>
      </rPr>
      <t xml:space="preserve"> 2 de 4</t>
    </r>
  </si>
  <si>
    <r>
      <rPr>
        <rFont val="Arial"/>
        <b/>
        <i/>
        <color theme="1"/>
        <sz val="10.0"/>
      </rPr>
      <t>Página:</t>
    </r>
    <r>
      <rPr>
        <rFont val="Arial"/>
        <b val="0"/>
        <i/>
        <color theme="1"/>
        <sz val="10.0"/>
      </rPr>
      <t xml:space="preserve"> 2 de 4</t>
    </r>
  </si>
  <si>
    <r>
      <rPr>
        <rFont val="Arial"/>
        <b/>
        <i/>
        <color theme="1"/>
        <sz val="10.0"/>
      </rPr>
      <t xml:space="preserve">Código: </t>
    </r>
    <r>
      <rPr>
        <rFont val="Arial"/>
        <b val="0"/>
        <i/>
        <color theme="1"/>
        <sz val="10.0"/>
      </rPr>
      <t>FO-GCL-20</t>
    </r>
  </si>
  <si>
    <t>Tipo de plan de mejoramiento:</t>
  </si>
  <si>
    <t>Avance de acuerdo a las metas programadas cada año</t>
  </si>
  <si>
    <r>
      <rPr>
        <rFont val="Arial"/>
        <b/>
        <i/>
        <color theme="1"/>
        <sz val="10.0"/>
      </rPr>
      <t xml:space="preserve">Versión: </t>
    </r>
    <r>
      <rPr>
        <rFont val="Arial"/>
        <b val="0"/>
        <i/>
        <color theme="1"/>
        <sz val="10.0"/>
      </rPr>
      <t>03</t>
    </r>
  </si>
  <si>
    <t>Avance total del Proyecto</t>
  </si>
  <si>
    <r>
      <rPr>
        <rFont val="Arial"/>
        <b/>
        <i/>
        <color theme="1"/>
        <sz val="10.0"/>
      </rPr>
      <t>Fecha de aprobación: 23</t>
    </r>
    <r>
      <rPr>
        <rFont val="Arial"/>
        <b val="0"/>
        <i/>
        <color theme="1"/>
        <sz val="10.0"/>
      </rPr>
      <t>/07/2024</t>
    </r>
  </si>
  <si>
    <t>Año 1</t>
  </si>
  <si>
    <t>Año 2</t>
  </si>
  <si>
    <t>Año 3</t>
  </si>
  <si>
    <t>Año 4</t>
  </si>
  <si>
    <r>
      <rPr>
        <rFont val="Arial"/>
        <b/>
        <i/>
        <color theme="1"/>
        <sz val="10.0"/>
      </rPr>
      <t xml:space="preserve">Página: </t>
    </r>
    <r>
      <rPr>
        <rFont val="Arial"/>
        <b val="0"/>
        <i/>
        <color theme="1"/>
        <sz val="10.0"/>
      </rPr>
      <t>1 de 2</t>
    </r>
  </si>
  <si>
    <t>Año 5</t>
  </si>
  <si>
    <t>Año 6</t>
  </si>
  <si>
    <t>Año 7</t>
  </si>
  <si>
    <t>Año 8</t>
  </si>
  <si>
    <t>De programa</t>
  </si>
  <si>
    <t>Ingeniería Electrónica</t>
  </si>
  <si>
    <t>Proceso:</t>
  </si>
  <si>
    <t>Autoevaluación con fines de calidad 2020-2023-1</t>
  </si>
  <si>
    <t>Alta calidad:</t>
  </si>
  <si>
    <t xml:space="preserve">Reacreditación </t>
  </si>
  <si>
    <t>Facultad de Ciencias Básicas e Ingeniería</t>
  </si>
  <si>
    <t>Grado de avance del proyecto o acción global</t>
  </si>
  <si>
    <t>Monitoreo al Plan de Mejoramiento</t>
  </si>
  <si>
    <t>Seguimiento al plan de mejoramiento</t>
  </si>
  <si>
    <t>Pregrado</t>
  </si>
  <si>
    <t>Fecha de suscripción:</t>
  </si>
  <si>
    <t>19 de Junio de 2024</t>
  </si>
  <si>
    <t>Actividades realizadas para el cumplimineto del proyecto o acción global</t>
  </si>
  <si>
    <t>Medios de verificación</t>
  </si>
  <si>
    <r>
      <rPr>
        <rFont val="Arial"/>
        <b/>
        <color theme="1"/>
        <sz val="10.0"/>
      </rPr>
      <t xml:space="preserve">Verificación </t>
    </r>
    <r>
      <rPr>
        <rFont val="Arial"/>
        <b/>
        <i/>
        <color theme="1"/>
        <sz val="10.0"/>
      </rPr>
      <t>(Descripción y evidencias)</t>
    </r>
  </si>
  <si>
    <r>
      <rPr>
        <rFont val="Arial"/>
        <b/>
        <color theme="1"/>
        <sz val="10.0"/>
      </rPr>
      <t xml:space="preserve">Verificación </t>
    </r>
    <r>
      <rPr>
        <rFont val="Arial"/>
        <b/>
        <i/>
        <color theme="1"/>
        <sz val="10.0"/>
      </rPr>
      <t>(Descripción y evidencias)</t>
    </r>
  </si>
  <si>
    <t>Observaciones</t>
  </si>
  <si>
    <t>Héctor Iván Reyes Moncayo</t>
  </si>
  <si>
    <r>
      <rPr>
        <rFont val="Arial"/>
        <b/>
        <color theme="1"/>
        <sz val="10.0"/>
      </rPr>
      <t xml:space="preserve">Factor / Condición
</t>
    </r>
    <r>
      <rPr>
        <rFont val="Arial"/>
        <b/>
        <i/>
        <color theme="1"/>
        <sz val="10.0"/>
      </rPr>
      <t>(Aspecto)</t>
    </r>
  </si>
  <si>
    <t>Se hicieron reuniones informativas con los estudiantes, y también simulacros de las pruebas. Al momento de realizar este informe, no hay  resultados de las pruebas Saber Pro realizadas durante el 2025-I</t>
  </si>
  <si>
    <t>Se hicieron reuniones informativas con los estudiantes, y también simulacros de las pruebas</t>
  </si>
  <si>
    <t>Evidencia</t>
  </si>
  <si>
    <t>Origen de la oportunidad de mejora</t>
  </si>
  <si>
    <t>Descripción de la oportunidad de mejora</t>
  </si>
  <si>
    <t>Nombre del proyecto</t>
  </si>
  <si>
    <t>Peso del proyecto</t>
  </si>
  <si>
    <t>Tipo de meta</t>
  </si>
  <si>
    <t>Meta de la oportunidad de mejora</t>
  </si>
  <si>
    <t>Indicador de la meta</t>
  </si>
  <si>
    <t>Actividades de la Meta</t>
  </si>
  <si>
    <t>Recursos para su financiación</t>
  </si>
  <si>
    <t>Línea base de la Meta</t>
  </si>
  <si>
    <t>Programación de la meta</t>
  </si>
  <si>
    <t>Responsable</t>
  </si>
  <si>
    <t xml:space="preserve">Profesores, administrativos y estudiantes se benefician de los servicios y actvidades de bienestar universitario; sin embargo, no ha registro de dichas participaciones para este periodo se hicieron encuestas para recoger dicha información directamente de los beneficiados obteniendo que 100% de los admistrativos participaron en actividades de bienestar, 39.5 % de los profesores, y la totalidad de los estudiantes. lo que da un promedio de 78,6% de alcance de esta meta, considerando que se quiere alcanzar un 60% de participación. </t>
  </si>
  <si>
    <t>Año 1
2024</t>
  </si>
  <si>
    <t>Año 2
2025</t>
  </si>
  <si>
    <t>Año 3
2026</t>
  </si>
  <si>
    <t>Año 4
2027</t>
  </si>
  <si>
    <t>Año 5
2028</t>
  </si>
  <si>
    <t>Año 6
2029</t>
  </si>
  <si>
    <t>Año 7
2030</t>
  </si>
  <si>
    <t>Total</t>
  </si>
  <si>
    <t xml:space="preserve">Factor 2. Estudiantes </t>
  </si>
  <si>
    <t>Los datos entregados por bienestar no especifican el porcentaje de estudiantes, si no el número de personas que atienden estas actividades. No se entregó el registro de participación en algunas actividades.</t>
  </si>
  <si>
    <t>Determinación del CNA</t>
  </si>
  <si>
    <t xml:space="preserve">Continuar con estrategias para lograr que los resultados de la prueba Saber Pro sean mayores en todas las competencias ai promedio obtenido por los estudiantes
del grupo de referencia NBC.
</t>
  </si>
  <si>
    <t>Se definieron tres perfiles para profesores de planta para el programa.</t>
  </si>
  <si>
    <t>Nivel de ejecución del plan de mejoramiento</t>
  </si>
  <si>
    <t xml:space="preserve">Para el 2025, la meta es 15% de dedicación a investigación. Durante el 2025-I, los profesores de la escuela de ingeniería que prestan servicios en el programa tuvieron una dedicación de 11,35% a investigación, lo que representa que la meta se ha alcanzado en una 75,7% </t>
  </si>
  <si>
    <t>Apoyo a los procesos de aseguramiento de la calidad académica en la Universidad de los Llanos.</t>
  </si>
  <si>
    <t xml:space="preserve">Para el 2025, la meta es 12% de dedicación a investigación. Durante el 2025-I, los profesores de la escuela de ingeniería que prestan servicios en el programa tuvieron una dedicación de 9,6% a proyección social, lo que representa que la meta se ha alcanzado en una 80% </t>
  </si>
  <si>
    <t>Se recogerá la información durante el intersemestral del 2025</t>
  </si>
  <si>
    <t>Institucional / Programa</t>
  </si>
  <si>
    <t xml:space="preserve">Meta 1.
Mantener cinco (5) puntos por encima de los resultados de la prueba Saber Pro del grupo de referencia </t>
  </si>
  <si>
    <t xml:space="preserve">No. de puntos por encima del grupo de referencia </t>
  </si>
  <si>
    <t>1. Hacer seguimiento a la participación de los estudiantes en las estrategias institucionales 
2. Hacer seguimiento a las estrategias implementadas por el programa en cada uno de los cursos 
3. Presentar un informe de seguimiento anual al comité de programa</t>
  </si>
  <si>
    <t>Los profesores Javier Martínez, Javier Ricardo Castro y Héctor Iván Reyes trabajaron colaborativamente con profesores de otras universidades. El profesor Javier Martínez trabajó con un profesor de la Universidad Militar en la publicación de artículos, el profesor Javier Ricardo Castro trabajó con profesores de la Universidad de Antioquía en investigación, y el profesor con un profesor del Seneca Polytechnical College en un procyecto COIL. Esto representa el 23% de los 13 profesores de la escuela de ingeniería que prestaron servicios al programa durante el 2025-I. Considerando que para este periodo el porcentaje esperado es 22%, esta meta se cumplió al 100%.</t>
  </si>
  <si>
    <t>Recursos de Funcionamiento e inversión</t>
  </si>
  <si>
    <t xml:space="preserve">165 Programa 
153 Grupo de referencia </t>
  </si>
  <si>
    <t xml:space="preserve">Dirección General de Currículo
Comité de Programa 
Profesores del programa </t>
  </si>
  <si>
    <t>El ingeniero Javier Martínez publicó el artículo "Imitation of the Human Upper Limb by Convolutional Neural Networks" en el journal  International Journal of Artificial Intelligence (IJ-AI), en colaboración con el profesor Robinsón Moreno de la Universidad Militar Nueva Granada. La meta para el periodo 2024-2 - 2026-2 está cumplida</t>
  </si>
  <si>
    <t>Factor 9. Bienestar de la Comunidad Académica del Programa</t>
  </si>
  <si>
    <t>Dos estudiantes extranjeros estuvieron en el programa. Oreste Lomis de Bélgica y Neyeli Verenice Sobrado Vergara del Perú. Se ha cumplido la meta para el primer bienio</t>
  </si>
  <si>
    <t>Mantener la participación en las actividades de Bienestar de un porcentaje significativo de estudiantes del Programa en cada periodo, dada la importancia declarada por la institución, en el desarrollo integral y en la permanencia.</t>
  </si>
  <si>
    <t>Fortalecimiento y desarrollo de estrategias y acciones de bienestar en el marco del desarrollo humano en pro de los integrantes de la comunidad universitaria de los Llanos</t>
  </si>
  <si>
    <t>16 estudiantes participaron en movilidad saliente. Considerando que para calcular la línea base se consideró un promedio de 80 estudiantes, los que están a partir de quinto semestre, el porcentaje corresponde a 20%. Para el 2025 la meta es 17%. Por los tanto la meta se cumplió al 100%</t>
  </si>
  <si>
    <t>Esta meta no corresponde a este año</t>
  </si>
  <si>
    <t>No hay datos actualizados para el 2025-I</t>
  </si>
  <si>
    <t xml:space="preserve">Meta 2a.2b, 2c
Incrementar al 60% la participación de la comunidad del programa en actividades de bienestar institucional </t>
  </si>
  <si>
    <t>% estudiantes participando en Bienestar Institucional</t>
  </si>
  <si>
    <t>1.Realizar convocatorias para vincular estudiantes, profesores y administrativos en a actividades de bienestar.
2. Ejecutar el portafolio de servicios de Bienestar
3. Informe de seguimiento sobre la participación de estudiantes, profesores y administrativos en actividades de bienestar institucional.</t>
  </si>
  <si>
    <t>Bienestar Institucional
Consejo de FCBI
Comité de Programa</t>
  </si>
  <si>
    <t>El grupo Macrypt subió de categoría B a categoría A, mientras que los demás grupos se mantuvieron en sus categorías</t>
  </si>
  <si>
    <t>Bajo porcentaje de profesores y administrativos en actividades de Bienestar</t>
  </si>
  <si>
    <t>% Profesores participando en Bienestar Institucional</t>
  </si>
  <si>
    <t>El programa de egresados de la dirección de proyección social no ha enviado información actualizada</t>
  </si>
  <si>
    <t>La meta para el 2024 es 10%, se alcanzó 7.1%</t>
  </si>
  <si>
    <t>La meta no es para este periodo</t>
  </si>
  <si>
    <t>% Administrativos participando en Bienestar Institucional</t>
  </si>
  <si>
    <t>Factor 3. Profesores</t>
  </si>
  <si>
    <t>La meta para el 2024 es 8%, se alcanzó 1%</t>
  </si>
  <si>
    <t>No hay una directriz clara para la medición del impacto</t>
  </si>
  <si>
    <t>Proceso de autoevaluación</t>
  </si>
  <si>
    <t>El número de profesores no es suficiente para las necesidades del programa en relación con el número de estudiantes.</t>
  </si>
  <si>
    <r>
      <rPr>
        <rFont val="Arial"/>
        <b/>
        <i/>
        <color theme="1"/>
        <sz val="10.0"/>
      </rPr>
      <t>Código:</t>
    </r>
    <r>
      <rPr>
        <rFont val="Arial"/>
        <b val="0"/>
        <i/>
        <color theme="1"/>
        <sz val="10.0"/>
      </rPr>
      <t xml:space="preserve"> FO-GCL-20</t>
    </r>
  </si>
  <si>
    <t>Apoyo a la formación de alto nivel y fortalecimiento de las competencias docentes en la Universidad de los Llanos</t>
  </si>
  <si>
    <r>
      <rPr>
        <rFont val="Arial"/>
        <b/>
        <i/>
        <color theme="1"/>
        <sz val="10.0"/>
      </rPr>
      <t>Versión:</t>
    </r>
    <r>
      <rPr>
        <rFont val="Arial"/>
        <b val="0"/>
        <i/>
        <color theme="1"/>
        <sz val="10.0"/>
      </rPr>
      <t xml:space="preserve"> 03</t>
    </r>
  </si>
  <si>
    <t>Se planea implementar en el 2025-I</t>
  </si>
  <si>
    <r>
      <rPr>
        <rFont val="Arial"/>
        <b/>
        <i/>
        <color theme="1"/>
        <sz val="10.0"/>
      </rPr>
      <t>Fecha de aprobación:</t>
    </r>
    <r>
      <rPr>
        <rFont val="Arial"/>
        <b val="0"/>
        <i/>
        <color theme="1"/>
        <sz val="10.0"/>
      </rPr>
      <t xml:space="preserve"> 14/06/2022</t>
    </r>
  </si>
  <si>
    <r>
      <rPr>
        <rFont val="Arial"/>
        <b/>
        <i/>
        <color theme="1"/>
        <sz val="10.0"/>
      </rPr>
      <t>Página:</t>
    </r>
    <r>
      <rPr>
        <rFont val="Arial"/>
        <b val="0"/>
        <i/>
        <color theme="1"/>
        <sz val="10.0"/>
      </rPr>
      <t xml:space="preserve"> 2 de 4</t>
    </r>
  </si>
  <si>
    <t>Institucional</t>
  </si>
  <si>
    <t xml:space="preserve">Meta 3.
Desarrollar una (1) convocatoria de planta docente </t>
  </si>
  <si>
    <t>No. de convocatorias desarrolladas</t>
  </si>
  <si>
    <t>1. Identificar los perfiles. 
2. Desarrollar las etapas del concurso de acuerdo  con la normatividad aplicable
3. Formalizar nombramiento de los docentes ganadores del concurso</t>
  </si>
  <si>
    <t>Recursos contemplado en el Plan de Mejoramiento Institucional 2022-2028</t>
  </si>
  <si>
    <t>Consejo Superior
   Consejo Académico
Consejo de Facultad. 
Comité de programa</t>
  </si>
  <si>
    <t>No hay medición para calcular el porcentaje. Se planea hacer la primera medición el 2025-I</t>
  </si>
  <si>
    <t>Los tiempos de dedicación a las funciones misionales no cumplen con lo establecido en los indicadores del programa.</t>
  </si>
  <si>
    <t>Generar capacidades en innovación, desarrollo tecnológico y creación para la generación, uso y transferencia del conocimiento en la Universidad de los Llanos</t>
  </si>
  <si>
    <t>Meta 4.
Incrementar al 25% la asignación de tiempos de los docentes TC a la investigación</t>
  </si>
  <si>
    <t xml:space="preserve">% de asignación de horas a la función misional de investigación </t>
  </si>
  <si>
    <t>1. Realizar las convocatorias de proyectos de investigación y de proyección social.
2. Presentar y avalar los proyectos de investigación y proyección social.
3. Asignar a docentes los tiempos destinados a las funciones misionales de acuerdo con indicadores
4. Revisar indicadores y la tipificación de las asignaciones</t>
  </si>
  <si>
    <t>Consejo académico
Consejo de Facultad
Comité de Programa
Comité de Escuela Ingeniería
Departamento de Básicas</t>
  </si>
  <si>
    <t>Escenarios de extensión, apropiación y responsabilidad social de la Universidad de los Llanos</t>
  </si>
  <si>
    <t>Meta 5.
Incrementar al 20% la asignación de tiempos de los docentes TC a la Proyección Social</t>
  </si>
  <si>
    <t xml:space="preserve">% de asignación de horas a la función de proyección social </t>
  </si>
  <si>
    <t>Continuar con estrategias para aumentar el material de apoyo docente, su aplicación, y difusión.</t>
  </si>
  <si>
    <t>Programa</t>
  </si>
  <si>
    <t>Meta 6.
Desarrollar una (1) estrategia anual para fomentar la productividad y el material de apoyo docente</t>
  </si>
  <si>
    <t xml:space="preserve">No. de estrategias desarrolladas anualmente </t>
  </si>
  <si>
    <t>1. Revisar la conceptualización y los criterios del material de apoyo docente
2. Diseñar y desarrollar el repositorio de material de apoyo docente
3. Análisis de la evaluación del material de apoyo docente 
4. Presentar informe al comité de programa</t>
  </si>
  <si>
    <t>Recursos de Inversión y Funcionamiento</t>
  </si>
  <si>
    <t xml:space="preserve">
Comité de Programa
Profesores
</t>
  </si>
  <si>
    <t>Factor 5 - Visibilidad nacional e internacional</t>
  </si>
  <si>
    <t>El número de productos derivados de la participación de profesores, estudiantes y directivos del programa en redes u organismos nacionales e internacionales es bajo.</t>
  </si>
  <si>
    <r>
      <rPr>
        <rFont val="Arial"/>
        <b/>
        <color theme="1"/>
        <sz val="10.0"/>
      </rPr>
      <t xml:space="preserve">Verificación </t>
    </r>
    <r>
      <rPr>
        <rFont val="Arial"/>
        <b/>
        <i/>
        <color theme="1"/>
        <sz val="10.0"/>
      </rPr>
      <t>(Descripción y evidencias)</t>
    </r>
  </si>
  <si>
    <t>Posicionamiento y visibilidad de la Universidad de los Llanos en dinámicas mundiales a través de su relacionamiento con actores nacionales e internacionales</t>
  </si>
  <si>
    <t>12 estudiantes participaron en movilidad saliente. Considerando que para calcular la línea base se consideró un promedio de 80 estudiantes, los que están a partir de quinto semestre, el porcentaje corresponde a 15%. Para el 2024 la meta es 16%.</t>
  </si>
  <si>
    <t>Meta 7.
Incrementar al 30% la participación de los docentes en redes u organismos nacionales e internacionales para generar productos</t>
  </si>
  <si>
    <t>% de docentes que participan en redes u organismos académicos con productos o resultados</t>
  </si>
  <si>
    <t>1, Generar inscripciones y participaciones en redes académicas u organismos nacionales e internacionales</t>
  </si>
  <si>
    <t>Recursos de Funcionamiento contemplados en el Plan de Mejoramiento Institucional 2022-2028</t>
  </si>
  <si>
    <t>Se analizaron los resultados de las pruebas Saber Pro para identificar las principales falencias, las cuales fueron socializadas con los docentes con el fin de fortalecer las competencias evaluadas desde las asignaturas. Asimismo, se realizaron simulacros como estrategia de preparación para los estudiantes. Estas acciones fueron presentadas y discutidas en el Comité de Programa</t>
  </si>
  <si>
    <t>ACTA DE COMITÉ 020 DE 2025</t>
  </si>
  <si>
    <t xml:space="preserve">Vicerrectoría Académica
Vicerrectoría de Recursos
Dirección General de Investigaciones.          
Dirección General de Proyección Social.         
Comité de programa
</t>
  </si>
  <si>
    <r>
      <rPr>
        <rFont val="Arial"/>
        <b/>
        <i/>
        <color theme="1"/>
        <sz val="10.0"/>
      </rPr>
      <t>Código:</t>
    </r>
    <r>
      <rPr>
        <rFont val="Arial"/>
        <b val="0"/>
        <i/>
        <color theme="1"/>
        <sz val="10.0"/>
      </rPr>
      <t xml:space="preserve"> FO-GCL-20</t>
    </r>
  </si>
  <si>
    <t xml:space="preserve">Meta 8.
Desarrollar un (1) producto bienalmente como resultado de la articulación de redes académicas </t>
  </si>
  <si>
    <t>No. producto desarrollado</t>
  </si>
  <si>
    <r>
      <rPr>
        <rFont val="Arial"/>
        <b/>
        <i/>
        <color theme="1"/>
        <sz val="10.0"/>
      </rPr>
      <t>Versión:</t>
    </r>
    <r>
      <rPr>
        <rFont val="Arial"/>
        <b val="0"/>
        <i/>
        <color theme="1"/>
        <sz val="10.0"/>
      </rPr>
      <t xml:space="preserve"> 03</t>
    </r>
  </si>
  <si>
    <t xml:space="preserve">Los profesores, administrativos y estudiantes se benefician de las actividades y servicios ofrecidos por Bienestar Universitario. Sin embargo, la información suministrada para el periodo no incluye un registro detallado de la participación de los diferentes estamentos, sino únicamente el número de personas atendidas en las actividades. Ante esta situación, se solicitaron los documentos a la entidad encargada. 
</t>
  </si>
  <si>
    <t>No hay datos actualizados para el 2024-2</t>
  </si>
  <si>
    <r>
      <rPr>
        <rFont val="Arial"/>
        <b/>
        <i/>
        <color theme="1"/>
        <sz val="10.0"/>
      </rPr>
      <t>Fecha de aprobación:</t>
    </r>
    <r>
      <rPr>
        <rFont val="Arial"/>
        <b val="0"/>
        <i/>
        <color theme="1"/>
        <sz val="10.0"/>
      </rPr>
      <t xml:space="preserve"> 14/06/2022</t>
    </r>
  </si>
  <si>
    <t xml:space="preserve">CARPETA DRIVE </t>
  </si>
  <si>
    <r>
      <rPr>
        <rFont val="Arial"/>
        <b/>
        <i/>
        <color theme="1"/>
        <sz val="10.0"/>
      </rPr>
      <t>Página:</t>
    </r>
    <r>
      <rPr>
        <rFont val="Arial"/>
        <b val="0"/>
        <i/>
        <color theme="1"/>
        <sz val="10.0"/>
      </rPr>
      <t xml:space="preserve"> 2 de 4</t>
    </r>
  </si>
  <si>
    <t>Continuar promoviendo la movilidad entrante nacional e internacional y la saliente nacional</t>
  </si>
  <si>
    <t>Meta 9.
Realizar la movilidad de un (1) estudiante extranjero bienalmente</t>
  </si>
  <si>
    <t>No. de estudiantes visitantes del programa.</t>
  </si>
  <si>
    <t>1. Actualizar y mantener los convenios internacionales para incrementar el número de estudiantes visitantes</t>
  </si>
  <si>
    <t xml:space="preserve">Recurso por inversión y/o Externos </t>
  </si>
  <si>
    <t>Oficina de Relaciones Interinstitucionales  OIRI. 
Consejo de FCBI
Comité de programa.</t>
  </si>
  <si>
    <t>Aumentar la movilidad saliente de estudiantes del Programa en distintas modalidades. Aunque el Programa argumenta la reducción en este indicador, en la pandemia y el paro, es posible complementar estos resultados, estableciendo otras actividades en distintas modalidades con efectos en la visibilidad y la cooperación nacional e internacional.</t>
  </si>
  <si>
    <t>Durante el periodo 2025-2, la Universidad de los Llanos expidió la resolución que autorizó el concurso público de méritos para la provisión de cargos docentes de carrera y realizó la distribución de las plazas entre las facultades, asignando cuatro (4) a la Facultad de Ciencias Básicas e Ingeniería. Al cierre del periodo, el proceso se encontraba en la etapa previa al concurso, por lo que la selección y vinculación de los docentes quedó prevista para el periodo académico 2026-1.</t>
  </si>
  <si>
    <t>CARPETA DRIVE</t>
  </si>
  <si>
    <t xml:space="preserve">Meta 10.
Lograr que el 20% de estudiantes a partir del V semestre realicen movilidad saliente nacional o internacional anualmente </t>
  </si>
  <si>
    <t>% de estudiantes beneficiarios de movilidad saliente</t>
  </si>
  <si>
    <r>
      <rPr>
        <rFont val="Arial"/>
        <color rgb="FF000000"/>
        <sz val="10.0"/>
      </rPr>
      <t xml:space="preserve">1. Socializar las convocatorias de movilidad nacional e internacional a los estudiantes
</t>
    </r>
    <r>
      <rPr>
        <rFont val="Arial"/>
        <color rgb="FF000000"/>
        <sz val="10.0"/>
      </rPr>
      <t>2. Implementar actividades en distintas modalidades que permitan aumentar la movilidad estudiantil</t>
    </r>
    <r>
      <rPr>
        <rFont val="Arial"/>
        <color rgb="FF000000"/>
        <sz val="10.0"/>
      </rPr>
      <t xml:space="preserve">
3. Postular estudiantes para movilidad 
4. Informe de seguimiento a la movilidad de los estudiantes</t>
    </r>
  </si>
  <si>
    <t>Para el 2025, la meta es 15% de dedicación a investigación. Durante el 2025-2, los profesores de la escuela de ingeniería que prestan servicios en el programa tuvieron una dedicación de 26,67% a investigación, lo que representa que la meta se ha alcanzado en un 100%</t>
  </si>
  <si>
    <t xml:space="preserve">Para el 2025, la meta es 12% de dedicación a investigación. Durante el 2025-2, los profesores de la escuela de ingeniería que prestan servicios en el programa tuvieron una dedicación de 26,67% a proyección social, lo que representa que la meta se ha alcanzado en una 100% </t>
  </si>
  <si>
    <t>En este periodo no hubo categorización de grupos.</t>
  </si>
  <si>
    <t xml:space="preserve">Oficina de Relaciones Interinstitucionales  OIRI
Consejo de FCBI
Comité de Programa </t>
  </si>
  <si>
    <t xml:space="preserve">Factor 6 Permanencia y graduación </t>
  </si>
  <si>
    <t>Se recogerá la información durante el intersemestral del 2026-1</t>
  </si>
  <si>
    <t>Persistir en acciones que permitan de manera efectiva continuar disminuyendo la deserción en el Programa. La tasa de deserción anual para 3 periodos entre 2019 y
2021 es superior al promedio nacional para nivel de formación.</t>
  </si>
  <si>
    <t xml:space="preserve">Meta 11.
Mantener un (1) digito la tasa deserción del programa </t>
  </si>
  <si>
    <t>% de la tasa de deserción</t>
  </si>
  <si>
    <t xml:space="preserve">1. Socializar las estrategias del sistema de alertas tempranas
2. Articular a los cursos las estrategias para superar el bajo rendimiento de los estudiantes
3. Informe semestral sobre </t>
  </si>
  <si>
    <t>6,25% lel programa
11,03% es la media nacional</t>
  </si>
  <si>
    <t>PREU
Comité de Programa
Profsores
Estudiantes</t>
  </si>
  <si>
    <t xml:space="preserve">La docente Lauren Gineth Isaza trabajó colaborativamente con profesores de otro programas de la universidad. Esto representa el 11,11% de los 9 profesores de la escuela de ingeniería que prestaron servicios al programa durante el 2025-II. </t>
  </si>
  <si>
    <t>Continuar con la estrategia para lograr la graduación en el tiempo aprobado en el registro calificado. La tasa acumulada de graduación del Programa al semestre 13 es del 23.57% inferior al promedio nacional para el profesional universitario. Aunque es mejor con relación al proceso anterior de acreditación, aún hay una  Oportunidad de mejora significativa en el comparativo nacional con el promedio del nivel de formación.</t>
  </si>
  <si>
    <t>Meta 12. 
Mantener en 12,5 de semestres para la graduación</t>
  </si>
  <si>
    <t xml:space="preserve">No. de semestres de graduación de los estudiantes </t>
  </si>
  <si>
    <t xml:space="preserve">1. Revisar las características del curso de proyecto de grado 
2. Hacer seguimiento al curso proyecto de grado y opciones de grado
2. Presentar un informe de seguimiento al comité </t>
  </si>
  <si>
    <t>Recursos de Funcionamiento</t>
  </si>
  <si>
    <t>12,5 semestres</t>
  </si>
  <si>
    <t>El docente Javier Ricardo Castro trabajó colaborativamente con profesores de otras universidades. El profesor Javier Ricardo Castro trabajó con profesores de la Universidad de Antioquía en investigación. Esto representa el 33% de los 3 profesores de la escuela de ingeniería que prestaron servicios al programa durante el 2025-II. Considerando que para este periodo el porcentaje esperado es 22%, esta meta se cumplió al 100%.</t>
  </si>
  <si>
    <t xml:space="preserve">Comité de programa 
Profesores </t>
  </si>
  <si>
    <t xml:space="preserve">Factor 8. Aportes a la investigación </t>
  </si>
  <si>
    <t xml:space="preserve">El estudiante entrante no cumplió con toda la documentacion solicitada. </t>
  </si>
  <si>
    <t>Continuar con estrategias y apoyos para mejorar la categoría de los grupos de
investigación y el reconocimiento de profesores como investigadores.</t>
  </si>
  <si>
    <r>
      <rPr>
        <rFont val="Arial"/>
        <b/>
        <color theme="1"/>
        <sz val="10.0"/>
      </rPr>
      <t xml:space="preserve">Verificación </t>
    </r>
    <r>
      <rPr>
        <rFont val="Arial"/>
        <b/>
        <i/>
        <color theme="1"/>
        <sz val="10.0"/>
      </rPr>
      <t>(Descripción y evidencias)</t>
    </r>
  </si>
  <si>
    <t>Meta 13. 
Lograr que un (1) grupos de investigación suba de categoría</t>
  </si>
  <si>
    <t>N° de grupos que subieron de categoría</t>
  </si>
  <si>
    <t xml:space="preserve">
1. Implementar estrategia para el fortalecimiento y categorización de los grupos de investigación participantes en Convocatorias de Minciencias, </t>
  </si>
  <si>
    <t>1 estudiante participó en movilidad saliente. Considerando que para calcular la línea base se consideró un promedio de 80 estudiantes, los que están a partir de quinto semestre, el porcentaje corresponde a 1,25%. Para el 2025 la meta es 17%. Por los tanto la meta no se cumplió</t>
  </si>
  <si>
    <t>Recursos de Funcionamiento  e inversión</t>
  </si>
  <si>
    <t>1 grupo en B y 4 en C</t>
  </si>
  <si>
    <t>Dirección General de Investigación</t>
  </si>
  <si>
    <t>Factor 9 - Impacto de los egresados en el medio</t>
  </si>
  <si>
    <t>Los matriculados para el 2025-2 fueron en total 359 estudiantes y en este periodo se tuvo una desercion de 39 estudiantes lo que indica un 10,86%. Esta meta no se cumplió, pero bajo significativamente. Es necesario implementar acciones de mejora para alcanzar el objetivo esperado</t>
  </si>
  <si>
    <t xml:space="preserve">
Se requiere incrementar el número de registros de egresados en la base de datos</t>
  </si>
  <si>
    <t>Meta 14. 
Aumentar al 45% los registros actualizados de los egresados en la base de datos del Programa</t>
  </si>
  <si>
    <t xml:space="preserve">% de nuevos registros en la base de datos </t>
  </si>
  <si>
    <t xml:space="preserve">1. Desarrollar actividades académicas que involucren a los egresados
2. Actualizar la base de datos permanentemente
3. Informe anual sobre seguimientos a egresados </t>
  </si>
  <si>
    <t xml:space="preserve">Recursos de Funcionamiento </t>
  </si>
  <si>
    <t>Programa de Egresados
 Centro de proyección social FCBI</t>
  </si>
  <si>
    <t xml:space="preserve">
No hay datos actualizados para el 2025-2</t>
  </si>
  <si>
    <t>Factor 10 - Recursos físicos y financieros</t>
  </si>
  <si>
    <t>Continuar robusteciendo la infraestructura de laboratorios y equipos disponibles para el Programa en las distintas líneas de profundización, tanto para la docencia,
coma para la investigación, y cumplir con el plan de mantenimiento y calibración de equipos de laboratorios de manera permanente.</t>
  </si>
  <si>
    <t>Fortalecimiento del sistema de laboratorios como apoyo al desarrollo de las funciones misionales de la universidad de los llanos</t>
  </si>
  <si>
    <t>Meta 15. 
Construir un (1) complejo de laboratorios</t>
  </si>
  <si>
    <t>N° de complejos de laboratorios construidos</t>
  </si>
  <si>
    <t>1.Determinar las necesidades de las unidades académicas
2.Formular el proyecto de consultoría para diseños y estudios 
3.Presentar el proyecto de construcción ante SGR
4.Ejecutar el proyecto de complejo de laboratorios</t>
  </si>
  <si>
    <t>Recursos de inversión contemplados en el Plan de Mejoramiento Institucional 2022-2028</t>
  </si>
  <si>
    <t>Coordinación de laboratorios
Vicerrectoría de Recursos Universitarios</t>
  </si>
  <si>
    <t>Dotación de equipos para los laboratorios básicos y especializados de la Universidad de los Llanos</t>
  </si>
  <si>
    <t>Meta 16. 
Ejecutar el 100% del plan de adquisición de equipos de medios educativos para los laboratorios del Sistema de Gestión de Laboratorios.</t>
  </si>
  <si>
    <t xml:space="preserve">% de ejecución del plan de adquisición de equipos de laboratorios </t>
  </si>
  <si>
    <t xml:space="preserve">La meta no es para este periodo </t>
  </si>
  <si>
    <t>1. Identificar las necesidades de los laboratorios en equipos y gestionar los recursos pertinentes
2. Formular los proyectos de inversión para adquisición de equipos de laboratorio acorde al plan de medios educativos. 
3. Ejecutar los proyectos de inversión</t>
  </si>
  <si>
    <t>Todos los factores</t>
  </si>
  <si>
    <t>Se requiere fortalecer el seguimiento de la medición de impacto que evidencie el desarrollo de las funciones misionales</t>
  </si>
  <si>
    <t>Meta 17. 
Obtener el nivel de cumplimiento mayor o igual al 80% en la medición del impacto</t>
  </si>
  <si>
    <t>% de medición de impacto</t>
  </si>
  <si>
    <t>1. Seguimiento y evaluación a las variables del modelo de impacto
2. Informe sobre resultados de la medición de impacto</t>
  </si>
  <si>
    <t>Comité de Programa 
 Director de Programa
 Comité de Escuela</t>
  </si>
  <si>
    <t>Elaborado:</t>
  </si>
  <si>
    <t xml:space="preserve">Director de Programa de Ing. Electrónica </t>
  </si>
  <si>
    <t>Aprobado:</t>
  </si>
  <si>
    <t>Comité de Programa Académico</t>
  </si>
  <si>
    <t xml:space="preserve">Consejo de Facultad de Ciencias Básicas e Ingeniería </t>
  </si>
  <si>
    <t xml:space="preserve">Consejo Académico </t>
  </si>
  <si>
    <t>Firma:</t>
  </si>
  <si>
    <r>
      <rPr>
        <rFont val="Arial"/>
        <b/>
        <i/>
        <color theme="1"/>
        <sz val="10.0"/>
      </rPr>
      <t>Código:</t>
    </r>
    <r>
      <rPr>
        <rFont val="Arial"/>
        <b val="0"/>
        <i/>
        <color theme="1"/>
        <sz val="10.0"/>
      </rPr>
      <t xml:space="preserve"> FO-GCL-20</t>
    </r>
  </si>
  <si>
    <r>
      <rPr>
        <rFont val="Arial"/>
        <b/>
        <i/>
        <color theme="1"/>
        <sz val="10.0"/>
      </rPr>
      <t>Versión:</t>
    </r>
    <r>
      <rPr>
        <rFont val="Arial"/>
        <b val="0"/>
        <i/>
        <color theme="1"/>
        <sz val="10.0"/>
      </rPr>
      <t xml:space="preserve"> 03</t>
    </r>
  </si>
  <si>
    <r>
      <rPr>
        <rFont val="Arial"/>
        <b/>
        <i/>
        <color theme="1"/>
        <sz val="10.0"/>
      </rPr>
      <t>Fecha de aprobación:</t>
    </r>
    <r>
      <rPr>
        <rFont val="Arial"/>
        <b val="0"/>
        <i/>
        <color theme="1"/>
        <sz val="10.0"/>
      </rPr>
      <t xml:space="preserve"> 14/06/2022</t>
    </r>
  </si>
  <si>
    <r>
      <rPr>
        <rFont val="Arial"/>
        <b/>
        <i/>
        <color theme="1"/>
        <sz val="10.0"/>
      </rPr>
      <t>Página:</t>
    </r>
    <r>
      <rPr>
        <rFont val="Arial"/>
        <b val="0"/>
        <i/>
        <color theme="1"/>
        <sz val="10.0"/>
      </rPr>
      <t xml:space="preserve"> 2 de 4</t>
    </r>
  </si>
  <si>
    <t>Nombre:</t>
  </si>
  <si>
    <t>Elvis Miguel Pérez Rodríguez</t>
  </si>
  <si>
    <t>Omaira Elizabeth González Giraldo</t>
  </si>
  <si>
    <t>Cargo:</t>
  </si>
  <si>
    <t>Director de Programa</t>
  </si>
  <si>
    <t>Decano de la Facultad</t>
  </si>
  <si>
    <t>Secretaria General AD-HOC</t>
  </si>
  <si>
    <t>Acta No.</t>
  </si>
  <si>
    <t>17 de 2024</t>
  </si>
  <si>
    <t>24 de 2024</t>
  </si>
  <si>
    <t>27 de 2024</t>
  </si>
  <si>
    <t>Fecha:</t>
  </si>
  <si>
    <t>20 de Junio de 2024</t>
  </si>
  <si>
    <t>23 de Julio de 2024</t>
  </si>
  <si>
    <t>Visto Bueno Acreditación
Nombre: Ana Bety Vacca Casanova
Cargo: Secretaria Técnica de Acreditación
Fecha: 23/07/2024</t>
  </si>
  <si>
    <t>Visto Bueno Planeación
Nombre: María Paula Estupiñán Tiuso 
Cargo: Asesora Oficina de Planeación
Fecha: 23/07/2024</t>
  </si>
  <si>
    <r>
      <rPr>
        <rFont val="Arial"/>
        <b/>
        <color theme="1"/>
        <sz val="10.0"/>
      </rPr>
      <t xml:space="preserve">Verificación </t>
    </r>
    <r>
      <rPr>
        <rFont val="Arial"/>
        <b/>
        <i/>
        <color theme="1"/>
        <sz val="10.0"/>
      </rPr>
      <t>(Descripción y evidencias)</t>
    </r>
  </si>
  <si>
    <r>
      <rPr>
        <rFont val="Arial"/>
        <b/>
        <i/>
        <color theme="1"/>
        <sz val="10.0"/>
      </rPr>
      <t>Código:</t>
    </r>
    <r>
      <rPr>
        <rFont val="Arial"/>
        <b val="0"/>
        <i/>
        <color theme="1"/>
        <sz val="10.0"/>
      </rPr>
      <t xml:space="preserve"> FO-GCL-20</t>
    </r>
  </si>
  <si>
    <r>
      <rPr>
        <rFont val="Arial"/>
        <b/>
        <i/>
        <color theme="1"/>
        <sz val="10.0"/>
      </rPr>
      <t>Versión:</t>
    </r>
    <r>
      <rPr>
        <rFont val="Arial"/>
        <b val="0"/>
        <i/>
        <color theme="1"/>
        <sz val="10.0"/>
      </rPr>
      <t xml:space="preserve"> 03</t>
    </r>
  </si>
  <si>
    <r>
      <rPr>
        <rFont val="Arial"/>
        <b/>
        <i/>
        <color theme="1"/>
        <sz val="10.0"/>
      </rPr>
      <t>Fecha de aprobación:</t>
    </r>
    <r>
      <rPr>
        <rFont val="Arial"/>
        <b val="0"/>
        <i/>
        <color theme="1"/>
        <sz val="10.0"/>
      </rPr>
      <t xml:space="preserve"> 14/06/2022</t>
    </r>
  </si>
  <si>
    <r>
      <rPr>
        <rFont val="Arial"/>
        <b/>
        <i/>
        <color theme="1"/>
        <sz val="10.0"/>
      </rPr>
      <t>Página:</t>
    </r>
    <r>
      <rPr>
        <rFont val="Arial"/>
        <b val="0"/>
        <i/>
        <color theme="1"/>
        <sz val="10.0"/>
      </rPr>
      <t xml:space="preserve"> 2 de 4</t>
    </r>
  </si>
  <si>
    <r>
      <rPr>
        <rFont val="Arial"/>
        <b/>
        <color theme="1"/>
        <sz val="10.0"/>
      </rPr>
      <t xml:space="preserve">Verificación </t>
    </r>
    <r>
      <rPr>
        <rFont val="Arial"/>
        <b/>
        <i/>
        <color theme="1"/>
        <sz val="10.0"/>
      </rPr>
      <t>(Descripción y evidencias)</t>
    </r>
  </si>
  <si>
    <r>
      <rPr>
        <rFont val="Arial"/>
        <b/>
        <i/>
        <color theme="1"/>
        <sz val="10.0"/>
      </rPr>
      <t>Código:</t>
    </r>
    <r>
      <rPr>
        <rFont val="Arial"/>
        <b val="0"/>
        <i/>
        <color theme="1"/>
        <sz val="10.0"/>
      </rPr>
      <t xml:space="preserve"> FO-GCL-20</t>
    </r>
  </si>
  <si>
    <r>
      <rPr>
        <rFont val="Arial"/>
        <b/>
        <i/>
        <color theme="1"/>
        <sz val="10.0"/>
      </rPr>
      <t>Versión:</t>
    </r>
    <r>
      <rPr>
        <rFont val="Arial"/>
        <b val="0"/>
        <i/>
        <color theme="1"/>
        <sz val="10.0"/>
      </rPr>
      <t xml:space="preserve"> 03</t>
    </r>
  </si>
  <si>
    <r>
      <rPr>
        <rFont val="Arial"/>
        <b/>
        <i/>
        <color theme="1"/>
        <sz val="10.0"/>
      </rPr>
      <t>Fecha de aprobación:</t>
    </r>
    <r>
      <rPr>
        <rFont val="Arial"/>
        <b val="0"/>
        <i/>
        <color theme="1"/>
        <sz val="10.0"/>
      </rPr>
      <t xml:space="preserve"> 14/06/2022</t>
    </r>
  </si>
  <si>
    <r>
      <rPr>
        <rFont val="Arial"/>
        <b/>
        <i/>
        <color theme="1"/>
        <sz val="10.0"/>
      </rPr>
      <t>Página:</t>
    </r>
    <r>
      <rPr>
        <rFont val="Arial"/>
        <b val="0"/>
        <i/>
        <color theme="1"/>
        <sz val="10.0"/>
      </rPr>
      <t xml:space="preserve"> 2 de 4</t>
    </r>
  </si>
  <si>
    <r>
      <rPr>
        <rFont val="Arial"/>
        <b/>
        <color theme="1"/>
        <sz val="10.0"/>
      </rPr>
      <t xml:space="preserve">Verificación </t>
    </r>
    <r>
      <rPr>
        <rFont val="Arial"/>
        <b/>
        <i/>
        <color theme="1"/>
        <sz val="10.0"/>
      </rPr>
      <t>(Descripción y evidencias)</t>
    </r>
  </si>
  <si>
    <r>
      <rPr>
        <rFont val="Arial"/>
        <b/>
        <i/>
        <color theme="1"/>
        <sz val="10.0"/>
      </rPr>
      <t>Código:</t>
    </r>
    <r>
      <rPr>
        <rFont val="Arial"/>
        <b val="0"/>
        <i/>
        <color theme="1"/>
        <sz val="10.0"/>
      </rPr>
      <t xml:space="preserve"> FO-GCL-20</t>
    </r>
  </si>
  <si>
    <r>
      <rPr>
        <rFont val="Arial"/>
        <b/>
        <i/>
        <color theme="1"/>
        <sz val="10.0"/>
      </rPr>
      <t>Versión:</t>
    </r>
    <r>
      <rPr>
        <rFont val="Arial"/>
        <b val="0"/>
        <i/>
        <color theme="1"/>
        <sz val="10.0"/>
      </rPr>
      <t xml:space="preserve"> 03</t>
    </r>
  </si>
  <si>
    <r>
      <rPr>
        <rFont val="Arial"/>
        <b/>
        <i/>
        <color theme="1"/>
        <sz val="10.0"/>
      </rPr>
      <t>Fecha de aprobación:</t>
    </r>
    <r>
      <rPr>
        <rFont val="Arial"/>
        <b val="0"/>
        <i/>
        <color theme="1"/>
        <sz val="10.0"/>
      </rPr>
      <t xml:space="preserve"> 14/06/2022</t>
    </r>
  </si>
  <si>
    <r>
      <rPr>
        <rFont val="Arial"/>
        <b/>
        <i/>
        <color theme="1"/>
        <sz val="10.0"/>
      </rPr>
      <t>Página:</t>
    </r>
    <r>
      <rPr>
        <rFont val="Arial"/>
        <b val="0"/>
        <i/>
        <color theme="1"/>
        <sz val="10.0"/>
      </rPr>
      <t xml:space="preserve"> 2 de 4</t>
    </r>
  </si>
  <si>
    <r>
      <rPr>
        <rFont val="Arial"/>
        <b/>
        <color theme="1"/>
        <sz val="10.0"/>
      </rPr>
      <t xml:space="preserve">Verificación </t>
    </r>
    <r>
      <rPr>
        <rFont val="Arial"/>
        <b/>
        <i/>
        <color theme="1"/>
        <sz val="10.0"/>
      </rPr>
      <t>(Descripción y evidencias)</t>
    </r>
  </si>
  <si>
    <r>
      <rPr>
        <rFont val="Arial"/>
        <b/>
        <i/>
        <color theme="1"/>
        <sz val="10.0"/>
      </rPr>
      <t>Código:</t>
    </r>
    <r>
      <rPr>
        <rFont val="Arial"/>
        <b val="0"/>
        <i/>
        <color theme="1"/>
        <sz val="10.0"/>
      </rPr>
      <t xml:space="preserve"> FO-GCL-20</t>
    </r>
  </si>
  <si>
    <r>
      <rPr>
        <rFont val="Arial"/>
        <b/>
        <i/>
        <color theme="1"/>
        <sz val="10.0"/>
      </rPr>
      <t>Versión:</t>
    </r>
    <r>
      <rPr>
        <rFont val="Arial"/>
        <b val="0"/>
        <i/>
        <color theme="1"/>
        <sz val="10.0"/>
      </rPr>
      <t xml:space="preserve"> 03</t>
    </r>
  </si>
  <si>
    <r>
      <rPr>
        <rFont val="Arial"/>
        <b/>
        <i/>
        <color theme="1"/>
        <sz val="10.0"/>
      </rPr>
      <t>Fecha de aprobación:</t>
    </r>
    <r>
      <rPr>
        <rFont val="Arial"/>
        <b val="0"/>
        <i/>
        <color theme="1"/>
        <sz val="10.0"/>
      </rPr>
      <t xml:space="preserve"> 14/06/2022</t>
    </r>
  </si>
  <si>
    <r>
      <rPr>
        <rFont val="Arial"/>
        <b/>
        <i/>
        <color theme="1"/>
        <sz val="10.0"/>
      </rPr>
      <t>Página:</t>
    </r>
    <r>
      <rPr>
        <rFont val="Arial"/>
        <b val="0"/>
        <i/>
        <color theme="1"/>
        <sz val="10.0"/>
      </rPr>
      <t xml:space="preserve"> 2 de 4</t>
    </r>
  </si>
  <si>
    <r>
      <rPr>
        <rFont val="Arial"/>
        <b/>
        <i/>
        <color theme="1"/>
        <sz val="10.0"/>
      </rPr>
      <t>Código:</t>
    </r>
    <r>
      <rPr>
        <rFont val="Arial"/>
        <b val="0"/>
        <i/>
        <color theme="1"/>
        <sz val="10.0"/>
      </rPr>
      <t xml:space="preserve"> FO-GCL-20</t>
    </r>
  </si>
  <si>
    <r>
      <rPr>
        <rFont val="Arial"/>
        <b/>
        <i/>
        <color theme="1"/>
        <sz val="10.0"/>
      </rPr>
      <t>Versión:</t>
    </r>
    <r>
      <rPr>
        <rFont val="Arial"/>
        <b val="0"/>
        <i/>
        <color theme="1"/>
        <sz val="10.0"/>
      </rPr>
      <t xml:space="preserve"> 03</t>
    </r>
  </si>
  <si>
    <r>
      <rPr>
        <rFont val="Arial"/>
        <b/>
        <i/>
        <color theme="1"/>
        <sz val="10.0"/>
      </rPr>
      <t>Fecha de aprobación:</t>
    </r>
    <r>
      <rPr>
        <rFont val="Arial"/>
        <b val="0"/>
        <i/>
        <color theme="1"/>
        <sz val="10.0"/>
      </rPr>
      <t xml:space="preserve"> 14/06/2022</t>
    </r>
  </si>
  <si>
    <r>
      <rPr>
        <rFont val="Arial"/>
        <b/>
        <i/>
        <color theme="1"/>
        <sz val="10.0"/>
      </rPr>
      <t>Página:</t>
    </r>
    <r>
      <rPr>
        <rFont val="Arial"/>
        <b val="0"/>
        <i/>
        <color theme="1"/>
        <sz val="10.0"/>
      </rPr>
      <t xml:space="preserve"> 2 de 4</t>
    </r>
  </si>
  <si>
    <r>
      <rPr>
        <rFont val="Arial"/>
        <b/>
        <color theme="1"/>
        <sz val="10.0"/>
      </rPr>
      <t xml:space="preserve">Verificación </t>
    </r>
    <r>
      <rPr>
        <rFont val="Arial"/>
        <b/>
        <i/>
        <color theme="1"/>
        <sz val="10.0"/>
      </rPr>
      <t>(Descripción y evidencias)</t>
    </r>
  </si>
  <si>
    <r>
      <rPr>
        <rFont val="Arial"/>
        <b/>
        <i/>
        <color theme="1"/>
        <sz val="10.0"/>
      </rPr>
      <t>Código:</t>
    </r>
    <r>
      <rPr>
        <rFont val="Arial"/>
        <b val="0"/>
        <i/>
        <color theme="1"/>
        <sz val="10.0"/>
      </rPr>
      <t xml:space="preserve"> FO-GCL-20</t>
    </r>
  </si>
  <si>
    <r>
      <rPr>
        <rFont val="Arial"/>
        <b/>
        <i/>
        <color theme="1"/>
        <sz val="10.0"/>
      </rPr>
      <t>Versión:</t>
    </r>
    <r>
      <rPr>
        <rFont val="Arial"/>
        <b val="0"/>
        <i/>
        <color theme="1"/>
        <sz val="10.0"/>
      </rPr>
      <t xml:space="preserve"> 03</t>
    </r>
  </si>
  <si>
    <r>
      <rPr>
        <rFont val="Arial"/>
        <b/>
        <i/>
        <color theme="1"/>
        <sz val="10.0"/>
      </rPr>
      <t>Fecha de aprobación:</t>
    </r>
    <r>
      <rPr>
        <rFont val="Arial"/>
        <b val="0"/>
        <i/>
        <color theme="1"/>
        <sz val="10.0"/>
      </rPr>
      <t xml:space="preserve"> 14/06/2022</t>
    </r>
  </si>
  <si>
    <r>
      <rPr>
        <rFont val="Arial"/>
        <b/>
        <i/>
        <color theme="1"/>
        <sz val="10.0"/>
      </rPr>
      <t>Página:</t>
    </r>
    <r>
      <rPr>
        <rFont val="Arial"/>
        <b val="0"/>
        <i/>
        <color theme="1"/>
        <sz val="10.0"/>
      </rPr>
      <t xml:space="preserve"> 2 de 4</t>
    </r>
  </si>
  <si>
    <r>
      <rPr>
        <rFont val="Arial"/>
        <b/>
        <color theme="1"/>
        <sz val="10.0"/>
      </rPr>
      <t xml:space="preserve">Verificación </t>
    </r>
    <r>
      <rPr>
        <rFont val="Arial"/>
        <b/>
        <i/>
        <color theme="1"/>
        <sz val="10.0"/>
      </rPr>
      <t>(Descripción y evidencias)</t>
    </r>
  </si>
  <si>
    <r>
      <rPr>
        <rFont val="Arial"/>
        <b/>
        <color theme="1"/>
        <sz val="10.0"/>
      </rPr>
      <t xml:space="preserve">Verificación </t>
    </r>
    <r>
      <rPr>
        <rFont val="Arial"/>
        <b/>
        <i/>
        <color theme="1"/>
        <sz val="10.0"/>
      </rPr>
      <t>(Descripción y evidencias)</t>
    </r>
  </si>
  <si>
    <r>
      <rPr>
        <rFont val="Arial"/>
        <b/>
        <i/>
        <color theme="1"/>
        <sz val="10.0"/>
      </rPr>
      <t>Código:</t>
    </r>
    <r>
      <rPr>
        <rFont val="Arial"/>
        <b val="0"/>
        <i/>
        <color theme="1"/>
        <sz val="10.0"/>
      </rPr>
      <t xml:space="preserve"> FO-GCL-20</t>
    </r>
  </si>
  <si>
    <r>
      <rPr>
        <rFont val="Arial"/>
        <b/>
        <i/>
        <color theme="1"/>
        <sz val="10.0"/>
      </rPr>
      <t>Versión:</t>
    </r>
    <r>
      <rPr>
        <rFont val="Arial"/>
        <b val="0"/>
        <i/>
        <color theme="1"/>
        <sz val="10.0"/>
      </rPr>
      <t xml:space="preserve"> 03</t>
    </r>
  </si>
  <si>
    <r>
      <rPr>
        <rFont val="Arial"/>
        <b/>
        <i/>
        <color theme="1"/>
        <sz val="10.0"/>
      </rPr>
      <t>Fecha de aprobación:</t>
    </r>
    <r>
      <rPr>
        <rFont val="Arial"/>
        <b val="0"/>
        <i/>
        <color theme="1"/>
        <sz val="10.0"/>
      </rPr>
      <t xml:space="preserve"> 14/06/2022</t>
    </r>
  </si>
  <si>
    <r>
      <rPr>
        <rFont val="Arial"/>
        <b/>
        <i/>
        <color theme="1"/>
        <sz val="10.0"/>
      </rPr>
      <t>Página:</t>
    </r>
    <r>
      <rPr>
        <rFont val="Arial"/>
        <b val="0"/>
        <i/>
        <color theme="1"/>
        <sz val="10.0"/>
      </rPr>
      <t xml:space="preserve"> 2 de 4</t>
    </r>
  </si>
  <si>
    <r>
      <rPr>
        <rFont val="Arial"/>
        <b/>
        <i/>
        <color theme="1"/>
        <sz val="10.0"/>
      </rPr>
      <t>Código:</t>
    </r>
    <r>
      <rPr>
        <rFont val="Arial"/>
        <b val="0"/>
        <i/>
        <color theme="1"/>
        <sz val="10.0"/>
      </rPr>
      <t xml:space="preserve"> FO-GCL-20</t>
    </r>
  </si>
  <si>
    <r>
      <rPr>
        <rFont val="Arial"/>
        <b/>
        <i/>
        <color theme="1"/>
        <sz val="10.0"/>
      </rPr>
      <t>Versión:</t>
    </r>
    <r>
      <rPr>
        <rFont val="Arial"/>
        <b val="0"/>
        <i/>
        <color theme="1"/>
        <sz val="10.0"/>
      </rPr>
      <t xml:space="preserve"> 03</t>
    </r>
  </si>
  <si>
    <r>
      <rPr>
        <rFont val="Arial"/>
        <b/>
        <i/>
        <color theme="1"/>
        <sz val="10.0"/>
      </rPr>
      <t>Fecha de aprobación:</t>
    </r>
    <r>
      <rPr>
        <rFont val="Arial"/>
        <b val="0"/>
        <i/>
        <color theme="1"/>
        <sz val="10.0"/>
      </rPr>
      <t xml:space="preserve"> 14/06/2022</t>
    </r>
  </si>
  <si>
    <r>
      <rPr>
        <rFont val="Arial"/>
        <b/>
        <i/>
        <color theme="1"/>
        <sz val="10.0"/>
      </rPr>
      <t>Página:</t>
    </r>
    <r>
      <rPr>
        <rFont val="Arial"/>
        <b val="0"/>
        <i/>
        <color theme="1"/>
        <sz val="10.0"/>
      </rPr>
      <t xml:space="preserve"> 2 de 4</t>
    </r>
  </si>
  <si>
    <t>Tipo de plan</t>
  </si>
  <si>
    <t>FACULTADES</t>
  </si>
  <si>
    <r>
      <rPr>
        <rFont val="Arial"/>
        <b/>
        <color theme="1"/>
        <sz val="10.0"/>
      </rPr>
      <t xml:space="preserve">Verificación </t>
    </r>
    <r>
      <rPr>
        <rFont val="Arial"/>
        <b/>
        <i/>
        <color theme="1"/>
        <sz val="10.0"/>
      </rPr>
      <t>(Descripción y evidencias)</t>
    </r>
  </si>
  <si>
    <t>Niveles de formación</t>
  </si>
  <si>
    <t>FCS</t>
  </si>
  <si>
    <t>FCBI</t>
  </si>
  <si>
    <t>FCE</t>
  </si>
  <si>
    <t>FCARN</t>
  </si>
  <si>
    <t>FCHYE</t>
  </si>
  <si>
    <t>Resultado facultad vs nivel de formación</t>
  </si>
  <si>
    <t>Tipo de oportunidad de mejora</t>
  </si>
  <si>
    <t>Alta calidad</t>
  </si>
  <si>
    <t>Continuidad de la acción</t>
  </si>
  <si>
    <t>Proyectos 2024</t>
  </si>
  <si>
    <t>Especialización</t>
  </si>
  <si>
    <t>Maestría</t>
  </si>
  <si>
    <t>Doctorado</t>
  </si>
  <si>
    <t>Facultad de Ciencias de la Salud</t>
  </si>
  <si>
    <t>Enfermería</t>
  </si>
  <si>
    <r>
      <rPr>
        <rFont val="Arial"/>
        <b/>
        <color theme="1"/>
        <sz val="10.0"/>
      </rPr>
      <t xml:space="preserve">Verificación </t>
    </r>
    <r>
      <rPr>
        <rFont val="Arial"/>
        <b/>
        <i/>
        <color theme="1"/>
        <sz val="10.0"/>
      </rPr>
      <t>(Descripción y evidencias)</t>
    </r>
  </si>
  <si>
    <t>Especialización en Seguridad y Salud en el Trabajo</t>
  </si>
  <si>
    <t>Maestría en Epidemiología</t>
  </si>
  <si>
    <t>Biología</t>
  </si>
  <si>
    <t>Especialización en Ingeniería de Software</t>
  </si>
  <si>
    <t>Maestría en Gestión Ambiental Sostenible</t>
  </si>
  <si>
    <t>Administración de Empresas</t>
  </si>
  <si>
    <t>Especialización en Finanzas</t>
  </si>
  <si>
    <t>Maestría en Administración de Negocios</t>
  </si>
  <si>
    <t>Medicina Veterinaria y Zootecnia</t>
  </si>
  <si>
    <t>Especialización en Producción Agrícola Tropical Sostenible</t>
  </si>
  <si>
    <t>Maestría en Producción Tropical Sostenible</t>
  </si>
  <si>
    <t>Doctorado en Ciencias Agrarias</t>
  </si>
  <si>
    <t>Licenciatura en Educación Física y Deporte</t>
  </si>
  <si>
    <t>Especialización en Acción Motriz</t>
  </si>
  <si>
    <t>Maestría en Estudios de Desarrollo Local</t>
  </si>
  <si>
    <t>Si</t>
  </si>
  <si>
    <t>Trimestral</t>
  </si>
  <si>
    <t>Tecnología en Regencia de Farmacia</t>
  </si>
  <si>
    <t>Especialización en Salud Familiar</t>
  </si>
  <si>
    <t>Ingeniería de Sistemas</t>
  </si>
  <si>
    <t>Especialización en Gestión Ambiental Sostenible</t>
  </si>
  <si>
    <t>Contaduría Pública</t>
  </si>
  <si>
    <t>Especialización en Administración de Negocios</t>
  </si>
  <si>
    <t>Ingeniería Agronómica</t>
  </si>
  <si>
    <t>Especialización en Acuicultura - Aguas Continentales</t>
  </si>
  <si>
    <t>Maestría en Sistemas Sostenibles de Salud - Producción Animal Tropical</t>
  </si>
  <si>
    <t xml:space="preserve">Licenciatura en Matemáticas </t>
  </si>
  <si>
    <t>Maestría en Estudios Culturales</t>
  </si>
  <si>
    <t>No</t>
  </si>
  <si>
    <t>Semestral</t>
  </si>
  <si>
    <t>Facultad de Ciencias Económicas</t>
  </si>
  <si>
    <t>Especialización en Administración en Salud</t>
  </si>
  <si>
    <t>Especialización en Instrumentación y Control Industrial</t>
  </si>
  <si>
    <t>Economía</t>
  </si>
  <si>
    <t>Especialización en Desarrollo de Mercados</t>
  </si>
  <si>
    <t>Ingeniería Agroindustrial</t>
  </si>
  <si>
    <t>Maestría en Acuicultura</t>
  </si>
  <si>
    <t>Licenciatura en Educación Infantil</t>
  </si>
  <si>
    <t>Anual</t>
  </si>
  <si>
    <t>Fortalecimiento estratégico de la cultura organizacional en la comunicación integral de la Universidad de los Llanos.</t>
  </si>
  <si>
    <t>Facultad de Ciencias Agropecuarias y Recursos Naturales</t>
  </si>
  <si>
    <t>Especialización en Epidemiologia</t>
  </si>
  <si>
    <t>Ingeniería de Procesos</t>
  </si>
  <si>
    <t>Mercadeo</t>
  </si>
  <si>
    <t>Especialización en Gestión de la Calidad</t>
  </si>
  <si>
    <t>Por única vez</t>
  </si>
  <si>
    <t>Facultad de Ciencias Humanas y de la Educación</t>
  </si>
  <si>
    <t>Ingeniería Ambiental</t>
  </si>
  <si>
    <t>Continua</t>
  </si>
  <si>
    <t>Fortalecimiento de las habilidades comunicativas en una segunda lengua para los estudiantes del programa de bilingüismo BULL de la Universidad de los Llanos</t>
  </si>
  <si>
    <t>Construcción de documentos maestros para programas académicos de grado y posgrado en la Universidad de los Llanos.</t>
  </si>
  <si>
    <t>Adquisición de recursos bibliográficos y plataformas tecnológicas para apoyar los procesos formativos de la comunidad académica de la Universidad de los Llanos</t>
  </si>
  <si>
    <t>Fortalecer e implementar el desarrollo del sistema de laboratorios como apoyo al cumplimiento de las funciones misionales de la Universidad de Llanos.</t>
  </si>
  <si>
    <t>Promover la educación digital en los procesos de enseñanza y aprendizaje en ambientes físicos y virtuales de la Universidad de los Llanos</t>
  </si>
  <si>
    <t>Adquisición de equipos para los laboratorios de la Universidad de los Llanos en el marco de la política de medios educativos</t>
  </si>
  <si>
    <t>Fortalecimiento del Sistema de Gestión Ambiental de la Universidad de los Llanos</t>
  </si>
  <si>
    <t>Adquisición de infraestructura tecnológica para el apoyo transversal de los procesos académico administrativos de la Universidad de los Llanos</t>
  </si>
  <si>
    <t>Fortalecimiento de las capacidades investigativas del Centro de Calidad de Aguas mediante el sostenimiento de la acreditación en la norma NTC ISO/IEC 17025: 2017 de la Universidad de los Llanos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</si>
</sst>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
    <numFmt numFmtId="165" formatCode="0.0%"/>
  </numFmts>
  <fonts count="23">
    <font>
      <sz val="10.0"/>
      <color rgb="FF000000"/>
      <name val="Arial"/>
      <scheme val="minor"/>
    </font>
    <font>
      <sz val="10.0"/>
      <color theme="1"/>
      <name val="Arial"/>
    </font>
    <font>
      <b/>
      <sz val="12.0"/>
      <color theme="1"/>
      <name val="Arial"/>
    </font>
    <font/>
    <font>
      <b/>
      <sz val="14.0"/>
      <color theme="1"/>
      <name val="Arial"/>
    </font>
    <font>
      <b/>
      <sz val="10.0"/>
      <color theme="1"/>
      <name val="Arial"/>
    </font>
    <font>
      <b/>
      <i/>
      <sz val="10.0"/>
      <color theme="1"/>
      <name val="Arial"/>
    </font>
    <font>
      <sz val="9.0"/>
      <color theme="1"/>
      <name val="Arial"/>
    </font>
    <font>
      <b/>
      <sz val="9.0"/>
      <color theme="1"/>
      <name val="Arial"/>
    </font>
    <font>
      <u/>
      <sz val="9.0"/>
      <color rgb="FF0563C1"/>
      <name val="Arial"/>
    </font>
    <font>
      <b/>
      <sz val="9.0"/>
      <color rgb="FF000000"/>
      <name val="Arial"/>
    </font>
    <font>
      <b/>
      <sz val="10.0"/>
      <color rgb="FF000000"/>
      <name val="Arial"/>
    </font>
    <font>
      <sz val="10.0"/>
      <color rgb="FF000000"/>
      <name val="Arial"/>
    </font>
    <font>
      <u/>
      <sz val="9.0"/>
      <color rgb="FF0000FF"/>
      <name val="Arial"/>
    </font>
    <font>
      <sz val="9.0"/>
      <color rgb="FFFF0000"/>
      <name val="Arial"/>
    </font>
    <font>
      <color rgb="FF000000"/>
      <name val="Arial"/>
    </font>
    <font>
      <u/>
      <sz val="9.0"/>
      <color rgb="FF0000FF"/>
      <name val="Arial"/>
    </font>
    <font>
      <sz val="9.0"/>
      <color rgb="FF000000"/>
      <name val="Arial"/>
    </font>
    <font>
      <color theme="1"/>
      <name val="Arial"/>
    </font>
    <font>
      <sz val="11.0"/>
      <color rgb="FF000000"/>
      <name val="Calibri"/>
    </font>
    <font>
      <b/>
      <color theme="1"/>
      <name val="Arial"/>
    </font>
    <font>
      <b/>
      <sz val="9.0"/>
      <color rgb="FFFFFFFF"/>
      <name val="Arial"/>
    </font>
    <font>
      <sz val="8.0"/>
      <color rgb="FF000000"/>
      <name val="Arial"/>
    </font>
  </fonts>
  <fills count="10">
    <fill>
      <patternFill patternType="none"/>
    </fill>
    <fill>
      <patternFill patternType="lightGray"/>
    </fill>
    <fill>
      <patternFill patternType="solid">
        <fgColor rgb="FFD9D9D9"/>
        <bgColor rgb="FFD9D9D9"/>
      </patternFill>
    </fill>
    <fill>
      <patternFill patternType="solid">
        <fgColor rgb="FFCFE2F3"/>
        <bgColor rgb="FFCFE2F3"/>
      </patternFill>
    </fill>
    <fill>
      <patternFill patternType="solid">
        <fgColor rgb="FFB6D7A8"/>
        <bgColor rgb="FFB6D7A8"/>
      </patternFill>
    </fill>
    <fill>
      <patternFill patternType="solid">
        <fgColor rgb="FFF3F3F3"/>
        <bgColor rgb="FFF3F3F3"/>
      </patternFill>
    </fill>
    <fill>
      <patternFill patternType="solid">
        <fgColor rgb="FFEFEFEF"/>
        <bgColor rgb="FFEFEFEF"/>
      </patternFill>
    </fill>
    <fill>
      <patternFill patternType="solid">
        <fgColor rgb="FFFFFF00"/>
        <bgColor rgb="FFFFFF00"/>
      </patternFill>
    </fill>
    <fill>
      <patternFill patternType="solid">
        <fgColor rgb="FFFFFFFF"/>
        <bgColor rgb="FFFFFFFF"/>
      </patternFill>
    </fill>
    <fill>
      <patternFill patternType="solid">
        <fgColor rgb="FF0000FF"/>
        <bgColor rgb="FF0000FF"/>
      </patternFill>
    </fill>
  </fills>
  <borders count="35">
    <border/>
    <border>
      <left style="thin">
        <color rgb="FF666666"/>
      </left>
      <right style="thin">
        <color rgb="FF666666"/>
      </right>
      <top style="thin">
        <color rgb="FF666666"/>
      </top>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border>
    <border>
      <left style="thin">
        <color rgb="FF666666"/>
      </left>
      <right style="thin">
        <color rgb="FF666666"/>
      </right>
      <bottom style="thin">
        <color rgb="FF666666"/>
      </bottom>
    </border>
    <border>
      <left style="thin">
        <color rgb="FF666666"/>
      </left>
      <right style="thin">
        <color rgb="FF666666"/>
      </right>
      <top style="thin">
        <color rgb="FF666666"/>
      </top>
      <bottom style="thin">
        <color rgb="FF666666"/>
      </bottom>
    </border>
    <border>
      <bottom style="thin">
        <color rgb="FF666666"/>
      </bottom>
    </border>
    <border>
      <right style="thin">
        <color rgb="FF666666"/>
      </right>
      <bottom style="thin">
        <color rgb="FF666666"/>
      </bottom>
    </border>
    <border>
      <left style="thin">
        <color rgb="FF666666"/>
      </left>
      <right style="thin">
        <color rgb="FF666666"/>
      </right>
      <top style="thin">
        <color rgb="FF666666"/>
      </top>
      <bottom/>
    </border>
    <border>
      <left style="thin">
        <color rgb="FF666666"/>
      </left>
      <right/>
      <top style="thin">
        <color rgb="FF666666"/>
      </top>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right/>
      <bottom/>
    </border>
    <border>
      <left style="thin">
        <color rgb="FF000000"/>
      </left>
      <right style="thin">
        <color rgb="FF666666"/>
      </right>
    </border>
    <border>
      <top style="thin">
        <color rgb="FF666666"/>
      </top>
    </border>
    <border>
      <left style="thin">
        <color rgb="FF666666"/>
      </left>
      <top style="thin">
        <color rgb="FF666666"/>
      </top>
    </border>
    <border>
      <right style="thin">
        <color rgb="FF666666"/>
      </right>
      <top style="thin">
        <color rgb="FF666666"/>
      </top>
    </border>
    <border>
      <left style="thin">
        <color rgb="FF000000"/>
      </left>
      <top style="thin">
        <color rgb="FF000000"/>
      </top>
    </border>
    <border>
      <top style="thin">
        <color rgb="FF000000"/>
      </top>
    </border>
    <border>
      <right style="thin">
        <color rgb="FF666666"/>
      </right>
      <top style="thin">
        <color rgb="FF000000"/>
      </top>
    </border>
    <border>
      <left style="thin">
        <color rgb="FF666666"/>
      </left>
    </border>
    <border>
      <right style="thin">
        <color rgb="FF666666"/>
      </right>
    </border>
    <border>
      <left style="thin">
        <color rgb="FF666666"/>
      </left>
      <bottom style="thin">
        <color rgb="FF666666"/>
      </bottom>
    </border>
    <border>
      <left/>
      <right/>
      <top/>
    </border>
    <border>
      <left/>
      <right/>
    </border>
  </borders>
  <cellStyleXfs count="1">
    <xf borderId="0" fillId="0" fontId="0" numFmtId="0" applyAlignment="1" applyFont="1"/>
  </cellStyleXfs>
  <cellXfs count="201">
    <xf borderId="0" fillId="0" fontId="0" numFmtId="0" xfId="0" applyAlignment="1" applyFont="1">
      <alignment readingOrder="0" shrinkToFit="0" vertical="bottom" wrapText="0"/>
    </xf>
    <xf borderId="0" fillId="0" fontId="1" numFmtId="0" xfId="0" applyAlignment="1" applyFont="1">
      <alignment vertical="center"/>
    </xf>
    <xf borderId="1" fillId="0" fontId="2" numFmtId="0" xfId="0" applyAlignment="1" applyBorder="1" applyFont="1">
      <alignment horizontal="center" vertical="center"/>
    </xf>
    <xf borderId="2" fillId="0" fontId="2" numFmtId="0" xfId="0" applyAlignment="1" applyBorder="1" applyFont="1">
      <alignment horizontal="center" vertical="center"/>
    </xf>
    <xf borderId="3" fillId="0" fontId="3" numFmtId="0" xfId="0" applyBorder="1" applyFont="1"/>
    <xf borderId="0" fillId="0" fontId="4" numFmtId="0" xfId="0" applyAlignment="1" applyFont="1">
      <alignment horizontal="center" vertical="center"/>
    </xf>
    <xf borderId="4" fillId="0" fontId="3" numFmtId="0" xfId="0" applyBorder="1" applyFont="1"/>
    <xf borderId="0" fillId="0" fontId="2" numFmtId="0" xfId="0" applyAlignment="1" applyFont="1">
      <alignment horizontal="center" vertical="center"/>
    </xf>
    <xf borderId="5" fillId="0" fontId="3" numFmtId="0" xfId="0" applyBorder="1" applyFont="1"/>
    <xf borderId="2" fillId="0" fontId="5" numFmtId="0" xfId="0" applyAlignment="1" applyBorder="1" applyFont="1">
      <alignment horizontal="center" vertical="center"/>
    </xf>
    <xf borderId="0" fillId="0" fontId="5" numFmtId="0" xfId="0" applyAlignment="1" applyFont="1">
      <alignment horizontal="center" vertical="center"/>
    </xf>
    <xf borderId="6" fillId="0" fontId="3" numFmtId="0" xfId="0" applyBorder="1" applyFont="1"/>
    <xf borderId="2" fillId="0" fontId="6" numFmtId="0" xfId="0" applyAlignment="1" applyBorder="1" applyFont="1">
      <alignment horizontal="left" vertical="center"/>
    </xf>
    <xf borderId="7" fillId="0" fontId="6" numFmtId="0" xfId="0" applyAlignment="1" applyBorder="1" applyFont="1">
      <alignment horizontal="left" vertical="center"/>
    </xf>
    <xf borderId="2" fillId="0" fontId="5" numFmtId="0" xfId="0" applyAlignment="1" applyBorder="1" applyFont="1">
      <alignment horizontal="center" readingOrder="0" vertical="center"/>
    </xf>
    <xf borderId="1" fillId="2" fontId="5" numFmtId="0" xfId="0" applyAlignment="1" applyBorder="1" applyFill="1" applyFont="1">
      <alignment horizontal="center" shrinkToFit="0" vertical="center" wrapText="1"/>
    </xf>
    <xf borderId="2" fillId="0" fontId="6" numFmtId="0" xfId="0" applyAlignment="1" applyBorder="1" applyFont="1">
      <alignment horizontal="center" vertical="center"/>
    </xf>
    <xf borderId="1" fillId="2" fontId="5" numFmtId="0" xfId="0" applyAlignment="1" applyBorder="1" applyFill="1" applyFont="1">
      <alignment horizontal="center" vertical="center"/>
    </xf>
    <xf borderId="2" fillId="0" fontId="1" numFmtId="0" xfId="0" applyAlignment="1" applyBorder="1" applyFont="1">
      <alignment horizontal="left" vertical="center"/>
    </xf>
    <xf borderId="2" fillId="2" fontId="5" numFmtId="0" xfId="0" applyAlignment="1" applyBorder="1" applyFill="1" applyFont="1">
      <alignment horizontal="center" vertical="center"/>
    </xf>
    <xf borderId="2" fillId="0" fontId="6" numFmtId="0" xfId="0" applyAlignment="1" applyBorder="1" applyFont="1">
      <alignment horizontal="center" readingOrder="0" vertical="center"/>
    </xf>
    <xf borderId="7" fillId="2" fontId="5" numFmtId="0" xfId="0" applyAlignment="1" applyBorder="1" applyFill="1" applyFont="1">
      <alignment horizontal="center" shrinkToFit="0" vertical="center" wrapText="1"/>
    </xf>
    <xf borderId="3" fillId="0" fontId="1" numFmtId="0" xfId="0" applyAlignment="1" applyBorder="1" applyFont="1">
      <alignment horizontal="left" vertical="center"/>
    </xf>
    <xf borderId="7" fillId="0" fontId="5" numFmtId="0" xfId="0" applyAlignment="1" applyBorder="1" applyFont="1">
      <alignment horizontal="left" vertical="center"/>
    </xf>
    <xf borderId="7" fillId="0" fontId="7" numFmtId="0" xfId="0" applyAlignment="1" applyBorder="1" applyFont="1">
      <alignment horizontal="left" shrinkToFit="0" vertical="center" wrapText="1"/>
    </xf>
    <xf borderId="7" fillId="0" fontId="1" numFmtId="0" xfId="0" applyAlignment="1" applyBorder="1" applyFont="1">
      <alignment horizontal="left" vertical="center"/>
    </xf>
    <xf borderId="0" fillId="0" fontId="1" numFmtId="0" xfId="0" applyAlignment="1" applyFont="1">
      <alignment horizontal="center" vertical="center"/>
    </xf>
    <xf borderId="0" fillId="0" fontId="1" numFmtId="0" xfId="0" applyAlignment="1" applyFont="1">
      <alignment horizontal="left" vertical="center"/>
    </xf>
    <xf borderId="7" fillId="0" fontId="7" numFmtId="0" xfId="0" applyAlignment="1" applyBorder="1" applyFont="1">
      <alignment readingOrder="0" shrinkToFit="0" vertical="center" wrapText="1"/>
    </xf>
    <xf borderId="7" fillId="0" fontId="7" numFmtId="10" xfId="0" applyAlignment="1" applyBorder="1" applyFont="1" applyNumberFormat="1">
      <alignment horizontal="center" vertical="center"/>
    </xf>
    <xf borderId="8" fillId="0" fontId="1" numFmtId="0" xfId="0" applyAlignment="1" applyBorder="1" applyFont="1">
      <alignment horizontal="left" vertical="center"/>
    </xf>
    <xf borderId="9" fillId="0" fontId="3" numFmtId="0" xfId="0" applyBorder="1" applyFont="1"/>
    <xf borderId="0" fillId="0" fontId="7" numFmtId="0" xfId="0" applyAlignment="1" applyFont="1">
      <alignment vertical="center"/>
    </xf>
    <xf borderId="1" fillId="0" fontId="7" numFmtId="0" xfId="0" applyAlignment="1" applyBorder="1" applyFont="1">
      <alignment horizontal="left" shrinkToFit="0" vertical="center" wrapText="1"/>
    </xf>
    <xf borderId="7" fillId="0" fontId="7"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3" fontId="5" numFmtId="0" xfId="0" applyAlignment="1" applyBorder="1" applyFill="1" applyFont="1">
      <alignment horizontal="center" shrinkToFit="0" vertical="center" wrapText="1"/>
    </xf>
    <xf borderId="1" fillId="0" fontId="8" numFmtId="0" xfId="0" applyAlignment="1" applyBorder="1" applyFont="1">
      <alignment horizontal="center" shrinkToFit="0" vertical="center" wrapText="1"/>
    </xf>
    <xf borderId="2" fillId="3" fontId="5" numFmtId="0" xfId="0" applyAlignment="1" applyBorder="1" applyFill="1" applyFont="1">
      <alignment horizontal="center" shrinkToFit="0" vertical="center" wrapText="1"/>
    </xf>
    <xf borderId="2" fillId="3" fontId="5" numFmtId="0" xfId="0" applyAlignment="1" applyBorder="1" applyFill="1" applyFont="1">
      <alignment horizontal="center" vertical="center"/>
    </xf>
    <xf borderId="2" fillId="4" fontId="5" numFmtId="0" xfId="0" applyAlignment="1" applyBorder="1" applyFill="1" applyFont="1">
      <alignment horizontal="center" vertical="center"/>
    </xf>
    <xf borderId="7" fillId="0" fontId="1" numFmtId="0" xfId="0" applyAlignment="1" applyBorder="1" applyFont="1">
      <alignment horizontal="left" readingOrder="0"/>
    </xf>
    <xf borderId="10" fillId="3" fontId="5" numFmtId="0" xfId="0" applyAlignment="1" applyBorder="1" applyFill="1" applyFont="1">
      <alignment horizontal="center" shrinkToFit="0" vertical="center" wrapText="1"/>
    </xf>
    <xf borderId="11" fillId="3" fontId="5" numFmtId="0" xfId="0" applyAlignment="1" applyBorder="1" applyFill="1" applyFont="1">
      <alignment horizontal="center" shrinkToFit="0" vertical="center" wrapText="1"/>
    </xf>
    <xf borderId="7" fillId="4" fontId="5" numFmtId="0" xfId="0" applyAlignment="1" applyBorder="1" applyFill="1" applyFont="1">
      <alignment horizontal="center" shrinkToFit="0" vertical="center" wrapText="1"/>
    </xf>
    <xf borderId="7" fillId="0" fontId="7" numFmtId="10" xfId="0" applyAlignment="1" applyBorder="1" applyFont="1" applyNumberFormat="1">
      <alignment horizontal="center" readingOrder="0" shrinkToFit="0" vertical="center" wrapText="1"/>
    </xf>
    <xf borderId="7" fillId="0" fontId="7" numFmtId="10" xfId="0" applyAlignment="1" applyBorder="1" applyFont="1" applyNumberFormat="1">
      <alignment shrinkToFit="0" vertical="center" wrapText="1"/>
    </xf>
    <xf borderId="7" fillId="0" fontId="7" numFmtId="0" xfId="0" applyAlignment="1" applyBorder="1" applyFont="1">
      <alignment horizontal="left" readingOrder="0" shrinkToFit="0" vertical="center" wrapText="1"/>
    </xf>
    <xf borderId="1" fillId="5" fontId="5" numFmtId="0" xfId="0" applyAlignment="1" applyBorder="1" applyFill="1" applyFont="1">
      <alignment horizontal="center" shrinkToFit="0" vertical="center" wrapText="1"/>
    </xf>
    <xf borderId="7" fillId="0" fontId="7" numFmtId="0" xfId="0" applyAlignment="1" applyBorder="1" applyFont="1">
      <alignment horizontal="center" vertical="center"/>
    </xf>
    <xf borderId="1" fillId="6" fontId="5" numFmtId="0" xfId="0" applyAlignment="1" applyBorder="1" applyFill="1" applyFont="1">
      <alignment horizontal="center" shrinkToFit="0" vertical="center" wrapText="1"/>
    </xf>
    <xf borderId="7" fillId="0" fontId="7" numFmtId="0" xfId="0" applyAlignment="1" applyBorder="1" applyFont="1">
      <alignment horizontal="left" vertical="center"/>
    </xf>
    <xf borderId="2" fillId="6" fontId="5" numFmtId="0" xfId="0" applyAlignment="1" applyBorder="1" applyFill="1" applyFont="1">
      <alignment horizontal="center" shrinkToFit="0" vertical="center" wrapText="1"/>
    </xf>
    <xf borderId="1" fillId="0" fontId="7" numFmtId="0" xfId="0" applyAlignment="1" applyBorder="1" applyFont="1">
      <alignment shrinkToFit="0" vertical="center" wrapText="1"/>
    </xf>
    <xf borderId="1" fillId="0" fontId="7" numFmtId="10" xfId="0" applyAlignment="1" applyBorder="1" applyFont="1" applyNumberFormat="1">
      <alignment horizontal="center" readingOrder="0" shrinkToFit="0" vertical="center" wrapText="1"/>
    </xf>
    <xf borderId="7" fillId="0" fontId="9" numFmtId="0" xfId="0" applyAlignment="1" applyBorder="1" applyFont="1">
      <alignment horizontal="center" readingOrder="0" vertical="center"/>
    </xf>
    <xf borderId="1" fillId="0" fontId="7" numFmtId="0" xfId="0" applyAlignment="1" applyBorder="1" applyFont="1">
      <alignment horizontal="left" readingOrder="0" shrinkToFit="0" vertical="center" wrapText="1"/>
    </xf>
    <xf borderId="1" fillId="6" fontId="8" numFmtId="164" xfId="0" applyAlignment="1" applyBorder="1" applyFill="1" applyFont="1" applyNumberFormat="1">
      <alignment horizontal="center" shrinkToFit="0" vertical="center" wrapText="1"/>
    </xf>
    <xf borderId="1" fillId="0" fontId="7" numFmtId="0" xfId="0" applyAlignment="1" applyBorder="1" applyFont="1">
      <alignment horizontal="center" vertical="center"/>
    </xf>
    <xf borderId="1" fillId="6" fontId="8" numFmtId="0" xfId="0" applyAlignment="1" applyBorder="1" applyFill="1" applyFont="1">
      <alignment horizontal="center" shrinkToFit="0" vertical="center" wrapText="1"/>
    </xf>
    <xf borderId="1" fillId="0" fontId="7" numFmtId="0" xfId="0" applyAlignment="1" applyBorder="1" applyFont="1">
      <alignment horizontal="left" vertical="center"/>
    </xf>
    <xf borderId="1" fillId="6" fontId="10" numFmtId="0" xfId="0" applyAlignment="1" applyBorder="1" applyFill="1" applyFont="1">
      <alignment horizontal="center" shrinkToFit="0" vertical="center" wrapText="1"/>
    </xf>
    <xf borderId="7" fillId="0" fontId="11" numFmtId="0" xfId="0" applyAlignment="1" applyBorder="1" applyFont="1">
      <alignment horizontal="center" shrinkToFit="0" vertical="center" wrapText="1"/>
    </xf>
    <xf borderId="1" fillId="0" fontId="7" numFmtId="10" xfId="0" applyAlignment="1" applyBorder="1" applyFont="1" applyNumberFormat="1">
      <alignment horizontal="center" shrinkToFit="0" vertical="center" wrapText="1"/>
    </xf>
    <xf borderId="7" fillId="0" fontId="12" numFmtId="0" xfId="0" applyAlignment="1" applyBorder="1" applyFont="1">
      <alignment horizontal="center" shrinkToFit="0" vertical="center" wrapText="1"/>
    </xf>
    <xf borderId="1" fillId="7" fontId="12" numFmtId="0" xfId="0" applyAlignment="1" applyBorder="1" applyFill="1" applyFont="1">
      <alignment horizontal="left" readingOrder="0" shrinkToFit="0" vertical="center" wrapText="1"/>
    </xf>
    <xf borderId="2" fillId="2" fontId="4" numFmtId="0" xfId="0" applyAlignment="1" applyBorder="1" applyFill="1" applyFont="1">
      <alignment horizontal="left" shrinkToFit="0" vertical="center" wrapText="1"/>
    </xf>
    <xf borderId="7" fillId="2" fontId="4" numFmtId="10" xfId="0" applyAlignment="1" applyBorder="1" applyFill="1" applyFont="1" applyNumberFormat="1">
      <alignment horizontal="center" vertical="center"/>
    </xf>
    <xf borderId="1" fillId="0" fontId="13" numFmtId="0" xfId="0" applyAlignment="1" applyBorder="1" applyFont="1">
      <alignment horizontal="center" vertical="center"/>
    </xf>
    <xf borderId="12" fillId="0" fontId="12" numFmtId="10" xfId="0" applyAlignment="1" applyBorder="1" applyFont="1" applyNumberFormat="1">
      <alignment horizontal="center" shrinkToFit="0" vertical="center" wrapText="1"/>
    </xf>
    <xf borderId="7" fillId="7" fontId="12" numFmtId="0" xfId="0" applyAlignment="1" applyBorder="1" applyFill="1" applyFont="1">
      <alignment horizontal="center" readingOrder="0" shrinkToFit="0" vertical="center" wrapText="1"/>
    </xf>
    <xf borderId="7" fillId="7" fontId="12" numFmtId="0" xfId="0" applyAlignment="1" applyBorder="1" applyFill="1" applyFont="1">
      <alignment horizontal="left" shrinkToFit="0" vertical="center" wrapText="1"/>
    </xf>
    <xf borderId="12" fillId="0" fontId="12" numFmtId="0" xfId="0" applyAlignment="1" applyBorder="1" applyFont="1">
      <alignment horizontal="center" shrinkToFit="0" vertical="center" wrapText="1"/>
    </xf>
    <xf borderId="7" fillId="7" fontId="12" numFmtId="0" xfId="0" applyAlignment="1" applyBorder="1" applyFill="1" applyFont="1">
      <alignment horizontal="center" shrinkToFit="0" vertical="center" wrapText="1"/>
    </xf>
    <xf borderId="7" fillId="0" fontId="12" numFmtId="0" xfId="0" applyAlignment="1" applyBorder="1" applyFont="1">
      <alignment horizontal="center" readingOrder="0" shrinkToFit="0" vertical="center" wrapText="1"/>
    </xf>
    <xf borderId="0" fillId="0" fontId="14" numFmtId="0" xfId="0" applyAlignment="1" applyFont="1">
      <alignment vertical="center"/>
    </xf>
    <xf borderId="13" fillId="0" fontId="11" numFmtId="0" xfId="0" applyAlignment="1" applyBorder="1" applyFont="1">
      <alignment horizontal="center" shrinkToFit="0" vertical="center" wrapText="1"/>
    </xf>
    <xf borderId="14" fillId="0" fontId="12" numFmtId="0" xfId="0" applyAlignment="1" applyBorder="1" applyFont="1">
      <alignment horizontal="center" shrinkToFit="0" vertical="center" wrapText="1"/>
    </xf>
    <xf borderId="7" fillId="7" fontId="15" numFmtId="0" xfId="0" applyAlignment="1" applyBorder="1" applyFill="1" applyFont="1">
      <alignment shrinkToFit="0" vertical="center" wrapText="1"/>
    </xf>
    <xf borderId="7" fillId="0" fontId="7" numFmtId="10" xfId="0" applyAlignment="1" applyBorder="1" applyFont="1" applyNumberFormat="1">
      <alignment horizontal="center" shrinkToFit="0" vertical="center" wrapText="1"/>
    </xf>
    <xf borderId="15" fillId="0" fontId="12" numFmtId="0" xfId="0" applyAlignment="1" applyBorder="1" applyFont="1">
      <alignment horizontal="center" shrinkToFit="0" vertical="center" wrapText="1"/>
    </xf>
    <xf borderId="16" fillId="0" fontId="12" numFmtId="10" xfId="0" applyAlignment="1" applyBorder="1" applyFont="1" applyNumberFormat="1">
      <alignment horizontal="center" shrinkToFit="0" vertical="center" wrapText="1"/>
    </xf>
    <xf borderId="13" fillId="0" fontId="12" numFmtId="0" xfId="0" applyAlignment="1" applyBorder="1" applyFont="1">
      <alignment horizontal="center" shrinkToFit="0" vertical="center" wrapText="1"/>
    </xf>
    <xf borderId="13" fillId="0" fontId="12" numFmtId="0" xfId="0" applyAlignment="1" applyBorder="1" applyFont="1">
      <alignment horizontal="center" readingOrder="0" shrinkToFit="0" vertical="center" wrapText="1"/>
    </xf>
    <xf borderId="17" fillId="0" fontId="12" numFmtId="0" xfId="0" applyAlignment="1" applyBorder="1" applyFont="1">
      <alignment horizontal="center" shrinkToFit="0" vertical="center" wrapText="1"/>
    </xf>
    <xf borderId="13" fillId="7" fontId="12" numFmtId="0" xfId="0" applyAlignment="1" applyBorder="1" applyFill="1" applyFont="1">
      <alignment horizontal="left" shrinkToFit="0" vertical="center" wrapText="1"/>
    </xf>
    <xf borderId="17" fillId="0" fontId="12" numFmtId="10" xfId="0" applyAlignment="1" applyBorder="1" applyFont="1" applyNumberFormat="1">
      <alignment horizontal="center" shrinkToFit="0" vertical="center" wrapText="1"/>
    </xf>
    <xf borderId="17" fillId="0" fontId="12" numFmtId="165" xfId="0" applyAlignment="1" applyBorder="1" applyFont="1" applyNumberFormat="1">
      <alignment horizontal="center" shrinkToFit="0" vertical="center" wrapText="1"/>
    </xf>
    <xf borderId="17" fillId="7" fontId="12" numFmtId="9" xfId="0" applyAlignment="1" applyBorder="1" applyFill="1" applyFont="1" applyNumberFormat="1">
      <alignment horizontal="center" shrinkToFit="0" vertical="center" wrapText="1"/>
    </xf>
    <xf borderId="17" fillId="0" fontId="12" numFmtId="9" xfId="0" applyAlignment="1" applyBorder="1" applyFont="1" applyNumberFormat="1">
      <alignment horizontal="center" shrinkToFit="0" vertical="center" wrapText="1"/>
    </xf>
    <xf borderId="7" fillId="0" fontId="16" numFmtId="0" xfId="0" applyAlignment="1" applyBorder="1" applyFont="1">
      <alignment horizontal="center" vertical="center"/>
    </xf>
    <xf borderId="13" fillId="0" fontId="3" numFmtId="0" xfId="0" applyBorder="1" applyFont="1"/>
    <xf borderId="14" fillId="0" fontId="3" numFmtId="0" xfId="0" applyBorder="1" applyFont="1"/>
    <xf borderId="1" fillId="7" fontId="12" numFmtId="0" xfId="0" applyAlignment="1" applyBorder="1" applyFill="1" applyFont="1">
      <alignment horizontal="left" shrinkToFit="0" vertical="center" wrapText="1"/>
    </xf>
    <xf borderId="15" fillId="0" fontId="3" numFmtId="0" xfId="0" applyBorder="1" applyFont="1"/>
    <xf borderId="12" fillId="0" fontId="12" numFmtId="9" xfId="0" applyAlignment="1" applyBorder="1" applyFont="1" applyNumberFormat="1">
      <alignment horizontal="center" shrinkToFit="0" vertical="center" wrapText="1"/>
    </xf>
    <xf borderId="12" fillId="7" fontId="12" numFmtId="9" xfId="0" applyAlignment="1" applyBorder="1" applyFill="1" applyFont="1" applyNumberFormat="1">
      <alignment horizontal="center" shrinkToFit="0" vertical="center" wrapText="1"/>
    </xf>
    <xf borderId="17" fillId="0" fontId="3" numFmtId="0" xfId="0" applyBorder="1" applyFont="1"/>
    <xf borderId="18" fillId="0" fontId="3" numFmtId="0" xfId="0" applyBorder="1" applyFont="1"/>
    <xf borderId="19" fillId="0" fontId="3" numFmtId="0" xfId="0" applyBorder="1" applyFont="1"/>
    <xf borderId="13" fillId="8" fontId="11" numFmtId="0" xfId="0" applyAlignment="1" applyBorder="1" applyFill="1" applyFont="1">
      <alignment horizontal="center" shrinkToFit="0" vertical="center" wrapText="1"/>
    </xf>
    <xf borderId="17" fillId="7" fontId="12" numFmtId="0" xfId="0" applyAlignment="1" applyBorder="1" applyFill="1" applyFont="1">
      <alignment horizontal="left" shrinkToFit="0" vertical="center" wrapText="1"/>
    </xf>
    <xf borderId="12" fillId="0" fontId="12" numFmtId="0" xfId="0" applyAlignment="1" applyBorder="1" applyFont="1">
      <alignment horizontal="center" readingOrder="0" shrinkToFit="0" vertical="center" wrapText="1"/>
    </xf>
    <xf borderId="12" fillId="7" fontId="12" numFmtId="0" xfId="0" applyAlignment="1" applyBorder="1" applyFill="1" applyFont="1">
      <alignment horizontal="left" shrinkToFit="0" vertical="center" wrapText="1"/>
    </xf>
    <xf borderId="12" fillId="8" fontId="12" numFmtId="0" xfId="0" applyAlignment="1" applyBorder="1" applyFill="1" applyFont="1">
      <alignment horizontal="center" shrinkToFit="0" vertical="center" wrapText="1"/>
    </xf>
    <xf borderId="16" fillId="0" fontId="12" numFmtId="0" xfId="0" applyAlignment="1" applyBorder="1" applyFont="1">
      <alignment horizontal="center" shrinkToFit="0" vertical="center" wrapText="1"/>
    </xf>
    <xf borderId="16" fillId="7" fontId="12" numFmtId="0" xfId="0" applyAlignment="1" applyBorder="1" applyFill="1" applyFont="1">
      <alignment horizontal="left" shrinkToFit="0" vertical="center" wrapText="1"/>
    </xf>
    <xf borderId="16" fillId="7" fontId="12" numFmtId="0" xfId="0" applyAlignment="1" applyBorder="1" applyFill="1" applyFont="1">
      <alignment horizontal="left" readingOrder="0" shrinkToFit="0" vertical="center" wrapText="1"/>
    </xf>
    <xf borderId="12" fillId="8" fontId="12" numFmtId="9" xfId="0" applyAlignment="1" applyBorder="1" applyFill="1" applyFont="1" applyNumberFormat="1">
      <alignment horizontal="center" shrinkToFit="0" vertical="center" wrapText="1"/>
    </xf>
    <xf borderId="16" fillId="8" fontId="12" numFmtId="0" xfId="0" applyAlignment="1" applyBorder="1" applyFill="1" applyFont="1">
      <alignment horizontal="center" shrinkToFit="0" vertical="center" wrapText="1"/>
    </xf>
    <xf borderId="12" fillId="7" fontId="12" numFmtId="0" xfId="0" applyAlignment="1" applyBorder="1" applyFill="1" applyFont="1">
      <alignment horizontal="left" readingOrder="0" shrinkToFit="0" vertical="center" wrapText="1"/>
    </xf>
    <xf borderId="16" fillId="8" fontId="11" numFmtId="0" xfId="0" applyAlignment="1" applyBorder="1" applyFill="1" applyFont="1">
      <alignment horizontal="center" shrinkToFit="0" vertical="center" wrapText="1"/>
    </xf>
    <xf borderId="16" fillId="0" fontId="12" numFmtId="0" xfId="0" applyAlignment="1" applyBorder="1" applyFont="1">
      <alignment horizontal="left" shrinkToFit="0" vertical="center" wrapText="1"/>
    </xf>
    <xf borderId="7" fillId="0" fontId="7" numFmtId="10" xfId="0" applyAlignment="1" applyBorder="1" applyFont="1" applyNumberFormat="1">
      <alignment horizontal="center" shrinkToFit="0" wrapText="1"/>
    </xf>
    <xf borderId="7" fillId="0" fontId="7" numFmtId="0" xfId="0" applyAlignment="1" applyBorder="1" applyFont="1">
      <alignment shrinkToFit="0" wrapText="1"/>
    </xf>
    <xf borderId="7" fillId="0" fontId="7" numFmtId="0" xfId="0" applyAlignment="1" applyBorder="1" applyFont="1">
      <alignment horizontal="center" shrinkToFit="0" wrapText="1"/>
    </xf>
    <xf borderId="12" fillId="0" fontId="12" numFmtId="3" xfId="0" applyAlignment="1" applyBorder="1" applyFont="1" applyNumberFormat="1">
      <alignment horizontal="center" shrinkToFit="0" vertical="center" wrapText="1"/>
    </xf>
    <xf borderId="1" fillId="0" fontId="7" numFmtId="0" xfId="0" applyAlignment="1" applyBorder="1" applyFont="1">
      <alignment shrinkToFit="0" wrapText="1"/>
    </xf>
    <xf borderId="12" fillId="8" fontId="12" numFmtId="3" xfId="0" applyAlignment="1" applyBorder="1" applyFill="1" applyFont="1" applyNumberFormat="1">
      <alignment horizontal="center" shrinkToFit="0" vertical="center" wrapText="1"/>
    </xf>
    <xf borderId="1" fillId="0" fontId="7" numFmtId="0" xfId="0" applyAlignment="1" applyBorder="1" applyFont="1">
      <alignment horizontal="center"/>
    </xf>
    <xf borderId="12" fillId="0" fontId="12" numFmtId="0" xfId="0" applyAlignment="1" applyBorder="1" applyFont="1">
      <alignment horizontal="left" readingOrder="0" shrinkToFit="0" vertical="center" wrapText="1"/>
    </xf>
    <xf borderId="12" fillId="0" fontId="12" numFmtId="0" xfId="0" applyAlignment="1" applyBorder="1" applyFont="1">
      <alignment horizontal="left" shrinkToFit="0" vertical="center" wrapText="1"/>
    </xf>
    <xf borderId="12" fillId="0" fontId="17" numFmtId="0" xfId="0" applyAlignment="1" applyBorder="1" applyFont="1">
      <alignment horizontal="center" shrinkToFit="0" vertical="center" wrapText="1"/>
    </xf>
    <xf borderId="7" fillId="0" fontId="7" numFmtId="0" xfId="0" applyAlignment="1" applyBorder="1" applyFont="1">
      <alignment horizontal="center"/>
    </xf>
    <xf borderId="16" fillId="0" fontId="11" numFmtId="0" xfId="0" applyAlignment="1" applyBorder="1" applyFont="1">
      <alignment horizontal="center" shrinkToFit="0" vertical="center" wrapText="1"/>
    </xf>
    <xf borderId="12" fillId="0" fontId="11" numFmtId="0" xfId="0" applyAlignment="1" applyBorder="1" applyFont="1">
      <alignment horizontal="center" shrinkToFit="0" vertical="center" wrapText="1"/>
    </xf>
    <xf borderId="12" fillId="0" fontId="15" numFmtId="0" xfId="0" applyAlignment="1" applyBorder="1" applyFont="1">
      <alignment shrinkToFit="0" vertical="center" wrapText="1"/>
    </xf>
    <xf borderId="20" fillId="0" fontId="15" numFmtId="0" xfId="0" applyAlignment="1" applyBorder="1" applyFont="1">
      <alignment shrinkToFit="0" vertical="center" wrapText="1"/>
    </xf>
    <xf borderId="12" fillId="0" fontId="15" numFmtId="3" xfId="0" applyAlignment="1" applyBorder="1" applyFont="1" applyNumberFormat="1">
      <alignment horizontal="center" vertical="center"/>
    </xf>
    <xf borderId="20" fillId="0" fontId="15" numFmtId="3" xfId="0" applyAlignment="1" applyBorder="1" applyFont="1" applyNumberFormat="1">
      <alignment horizontal="center" vertical="center"/>
    </xf>
    <xf borderId="7" fillId="0" fontId="18" numFmtId="10" xfId="0" applyAlignment="1" applyBorder="1" applyFont="1" applyNumberFormat="1">
      <alignment horizontal="center" readingOrder="0"/>
    </xf>
    <xf borderId="21" fillId="0" fontId="12" numFmtId="0" xfId="0" applyAlignment="1" applyBorder="1" applyFont="1">
      <alignment horizontal="center" shrinkToFit="0" vertical="center" wrapText="1"/>
    </xf>
    <xf borderId="12" fillId="0" fontId="15" numFmtId="0" xfId="0" applyAlignment="1" applyBorder="1" applyFont="1">
      <alignment horizontal="center" shrinkToFit="0" vertical="center" wrapText="1"/>
    </xf>
    <xf borderId="7" fillId="0" fontId="18" numFmtId="10" xfId="0" applyAlignment="1" applyBorder="1" applyFont="1" applyNumberFormat="1">
      <alignment horizontal="center"/>
    </xf>
    <xf borderId="17" fillId="0" fontId="15" numFmtId="0" xfId="0" applyAlignment="1" applyBorder="1" applyFont="1">
      <alignment horizontal="center" readingOrder="0" shrinkToFit="0" vertical="center" wrapText="1"/>
    </xf>
    <xf borderId="12" fillId="0" fontId="19" numFmtId="9" xfId="0" applyAlignment="1" applyBorder="1" applyFont="1" applyNumberFormat="1">
      <alignment horizontal="center" vertical="center"/>
    </xf>
    <xf borderId="20" fillId="0" fontId="12" numFmtId="9" xfId="0" applyAlignment="1" applyBorder="1" applyFont="1" applyNumberFormat="1">
      <alignment horizontal="center" vertical="center"/>
    </xf>
    <xf borderId="22" fillId="0" fontId="12" numFmtId="0" xfId="0" applyAlignment="1" applyBorder="1" applyFont="1">
      <alignment horizontal="center" shrinkToFit="0" vertical="center" wrapText="1"/>
    </xf>
    <xf borderId="23" fillId="0" fontId="1" numFmtId="0" xfId="0" applyAlignment="1" applyBorder="1" applyFont="1">
      <alignment horizontal="center" shrinkToFit="0" vertical="center" wrapText="1"/>
    </xf>
    <xf borderId="20" fillId="0" fontId="1" numFmtId="0" xfId="0" applyAlignment="1" applyBorder="1" applyFont="1">
      <alignment horizontal="center" shrinkToFit="0" vertical="center" wrapText="1"/>
    </xf>
    <xf borderId="12" fillId="8" fontId="1" numFmtId="0" xfId="0" applyAlignment="1" applyBorder="1" applyFill="1" applyFont="1">
      <alignment horizontal="left" shrinkToFit="0" vertical="center" wrapText="1"/>
    </xf>
    <xf borderId="12" fillId="0" fontId="1" numFmtId="0" xfId="0" applyAlignment="1" applyBorder="1" applyFont="1">
      <alignment horizontal="center" shrinkToFit="0" vertical="center" wrapText="1"/>
    </xf>
    <xf borderId="12" fillId="0" fontId="1" numFmtId="10" xfId="0" applyAlignment="1" applyBorder="1" applyFont="1" applyNumberFormat="1">
      <alignment horizontal="center" shrinkToFit="0" vertical="center" wrapText="1"/>
    </xf>
    <xf borderId="17" fillId="8" fontId="12" numFmtId="0" xfId="0" applyAlignment="1" applyBorder="1" applyFill="1" applyFont="1">
      <alignment horizontal="center" shrinkToFit="0" vertical="center" wrapText="1"/>
    </xf>
    <xf borderId="12" fillId="8" fontId="12" numFmtId="0" xfId="0" applyAlignment="1" applyBorder="1" applyFill="1" applyFont="1">
      <alignment horizontal="left" shrinkToFit="0" vertical="center" wrapText="1"/>
    </xf>
    <xf borderId="12" fillId="0" fontId="1" numFmtId="14" xfId="0" applyAlignment="1" applyBorder="1" applyFont="1" applyNumberFormat="1">
      <alignment horizontal="center" shrinkToFit="0" vertical="center" wrapText="1"/>
    </xf>
    <xf borderId="12" fillId="5" fontId="1" numFmtId="0" xfId="0" applyAlignment="1" applyBorder="1" applyFill="1" applyFont="1">
      <alignment horizontal="center" shrinkToFit="0" vertical="center" wrapText="1"/>
    </xf>
    <xf borderId="12" fillId="8" fontId="1" numFmtId="0" xfId="0" applyAlignment="1" applyBorder="1" applyFill="1" applyFont="1">
      <alignment horizontal="center" shrinkToFit="0" vertical="center" wrapText="1"/>
    </xf>
    <xf borderId="24" fillId="0" fontId="5" numFmtId="0" xfId="0" applyAlignment="1" applyBorder="1" applyFont="1">
      <alignment shrinkToFit="0" vertical="center" wrapText="1"/>
    </xf>
    <xf borderId="24" fillId="0" fontId="3" numFmtId="0" xfId="0" applyBorder="1" applyFont="1"/>
    <xf borderId="25" fillId="0" fontId="5" numFmtId="0" xfId="0" applyAlignment="1" applyBorder="1" applyFont="1">
      <alignment shrinkToFit="0" vertical="center" wrapText="1"/>
    </xf>
    <xf borderId="24" fillId="0" fontId="20" numFmtId="0" xfId="0" applyAlignment="1" applyBorder="1" applyFont="1">
      <alignment vertical="center"/>
    </xf>
    <xf borderId="26" fillId="0" fontId="3" numFmtId="0" xfId="0" applyBorder="1" applyFont="1"/>
    <xf borderId="24" fillId="0" fontId="5" numFmtId="0" xfId="0" applyAlignment="1" applyBorder="1" applyFont="1">
      <alignment horizontal="left" vertical="center"/>
    </xf>
    <xf borderId="27" fillId="0" fontId="5" numFmtId="0" xfId="0" applyAlignment="1" applyBorder="1" applyFont="1">
      <alignment shrinkToFit="0" vertical="center" wrapText="1"/>
    </xf>
    <xf borderId="21" fillId="0" fontId="20" numFmtId="0" xfId="0" applyAlignment="1" applyBorder="1" applyFont="1">
      <alignment shrinkToFit="0" vertical="center" wrapText="1"/>
    </xf>
    <xf borderId="28" fillId="0" fontId="5" numFmtId="0" xfId="0" applyAlignment="1" applyBorder="1" applyFont="1">
      <alignment horizontal="left" vertical="center"/>
    </xf>
    <xf borderId="28" fillId="0" fontId="3" numFmtId="0" xfId="0" applyBorder="1" applyFont="1"/>
    <xf borderId="29" fillId="0" fontId="3" numFmtId="0" xfId="0" applyBorder="1" applyFont="1"/>
    <xf borderId="30" fillId="0" fontId="5" numFmtId="0" xfId="0" applyAlignment="1" applyBorder="1" applyFont="1">
      <alignment shrinkToFit="0" vertical="center" wrapText="1"/>
    </xf>
    <xf borderId="0" fillId="0" fontId="11" numFmtId="0" xfId="0" applyAlignment="1" applyFont="1">
      <alignment shrinkToFit="0" vertical="center" wrapText="1"/>
    </xf>
    <xf borderId="31" fillId="0" fontId="3" numFmtId="0" xfId="0" applyBorder="1" applyFont="1"/>
    <xf borderId="0" fillId="0" fontId="5" numFmtId="0" xfId="0" applyAlignment="1" applyFont="1">
      <alignment horizontal="center" shrinkToFit="0" vertical="center" wrapText="1"/>
    </xf>
    <xf borderId="14" fillId="0" fontId="5" numFmtId="0" xfId="0" applyAlignment="1" applyBorder="1" applyFont="1">
      <alignment shrinkToFit="0" vertical="center" wrapText="1"/>
    </xf>
    <xf borderId="15" fillId="0" fontId="18" numFmtId="0" xfId="0" applyBorder="1" applyFont="1"/>
    <xf borderId="14" fillId="0" fontId="5" numFmtId="0" xfId="0" applyAlignment="1" applyBorder="1" applyFont="1">
      <alignment shrinkToFit="0" vertical="top" wrapText="1"/>
    </xf>
    <xf borderId="0" fillId="0" fontId="1" numFmtId="0" xfId="0" applyAlignment="1" applyFont="1">
      <alignment horizontal="left"/>
    </xf>
    <xf borderId="0" fillId="0" fontId="11" numFmtId="0" xfId="0" applyAlignment="1" applyFont="1">
      <alignment readingOrder="0" shrinkToFit="0" vertical="center" wrapText="1"/>
    </xf>
    <xf borderId="0" fillId="0" fontId="5" numFmtId="0" xfId="0" applyAlignment="1" applyFont="1">
      <alignment horizontal="left" readingOrder="0" shrinkToFit="0" vertical="center" wrapText="1"/>
    </xf>
    <xf borderId="15" fillId="0" fontId="18" numFmtId="0" xfId="0" applyAlignment="1" applyBorder="1" applyFont="1">
      <alignment readingOrder="0"/>
    </xf>
    <xf borderId="14" fillId="0" fontId="5" numFmtId="0" xfId="0" applyAlignment="1" applyBorder="1" applyFont="1">
      <alignment shrinkToFit="0" wrapText="1"/>
    </xf>
    <xf borderId="0" fillId="0" fontId="1" numFmtId="0" xfId="0" applyAlignment="1" applyFont="1">
      <alignment horizontal="left" readingOrder="0"/>
    </xf>
    <xf borderId="32" fillId="0" fontId="5" numFmtId="0" xfId="0" applyAlignment="1" applyBorder="1" applyFont="1">
      <alignment shrinkToFit="0" vertical="center" wrapText="1"/>
    </xf>
    <xf borderId="8" fillId="0" fontId="11" numFmtId="0" xfId="0" applyAlignment="1" applyBorder="1" applyFont="1">
      <alignment readingOrder="0" shrinkToFit="0" vertical="center" wrapText="1"/>
    </xf>
    <xf borderId="8" fillId="0" fontId="5" numFmtId="0" xfId="0" applyAlignment="1" applyBorder="1" applyFont="1">
      <alignment horizontal="left" readingOrder="0" shrinkToFit="0" vertical="center" wrapText="1"/>
    </xf>
    <xf borderId="8" fillId="0" fontId="3" numFmtId="0" xfId="0" applyBorder="1" applyFont="1"/>
    <xf borderId="18" fillId="0" fontId="5" numFmtId="0" xfId="0" applyAlignment="1" applyBorder="1" applyFont="1">
      <alignment shrinkToFit="0" vertical="center" wrapText="1"/>
    </xf>
    <xf borderId="19" fillId="0" fontId="18" numFmtId="0" xfId="0" applyAlignment="1" applyBorder="1" applyFont="1">
      <alignment readingOrder="0"/>
    </xf>
    <xf borderId="18" fillId="0" fontId="5" numFmtId="0" xfId="0" applyAlignment="1" applyBorder="1" applyFont="1">
      <alignment shrinkToFit="0" wrapText="1"/>
    </xf>
    <xf borderId="8" fillId="0" fontId="1" numFmtId="0" xfId="0" applyAlignment="1" applyBorder="1" applyFont="1">
      <alignment horizontal="left" readingOrder="0"/>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2" fillId="0" fontId="5" numFmtId="0" xfId="0" applyAlignment="1" applyBorder="1" applyFont="1">
      <alignment readingOrder="0" shrinkToFit="0" wrapText="1"/>
    </xf>
    <xf borderId="0" fillId="0" fontId="1" numFmtId="0" xfId="0" applyAlignment="1" applyFont="1">
      <alignment shrinkToFit="0" vertical="center" wrapText="1"/>
    </xf>
    <xf borderId="0" fillId="0" fontId="18" numFmtId="0" xfId="0" applyAlignment="1" applyFont="1">
      <alignment horizontal="center"/>
    </xf>
    <xf borderId="0" fillId="0" fontId="18" numFmtId="0" xfId="0" applyAlignment="1" applyFont="1">
      <alignment horizontal="left"/>
    </xf>
    <xf borderId="0" fillId="0" fontId="18" numFmtId="0" xfId="0" applyAlignment="1" applyFont="1">
      <alignment horizontal="center" vertical="center"/>
    </xf>
    <xf borderId="0" fillId="0" fontId="17" numFmtId="0" xfId="0" applyAlignment="1" applyFont="1">
      <alignment vertical="center"/>
    </xf>
    <xf borderId="0" fillId="0" fontId="8" numFmtId="0" xfId="0" applyAlignment="1" applyFont="1">
      <alignment horizontal="center" vertical="center"/>
    </xf>
    <xf borderId="0" fillId="0" fontId="8" numFmtId="14" xfId="0" applyAlignment="1" applyFont="1" applyNumberFormat="1">
      <alignment horizontal="center" vertical="center"/>
    </xf>
    <xf borderId="0" fillId="0" fontId="8" numFmtId="0" xfId="0" applyAlignment="1" applyFont="1">
      <alignment horizontal="center" shrinkToFit="0" vertical="center" wrapText="1"/>
    </xf>
    <xf borderId="33" fillId="9" fontId="21" numFmtId="0" xfId="0" applyAlignment="1" applyBorder="1" applyFill="1" applyFont="1">
      <alignment horizontal="center" shrinkToFit="0" vertical="center" wrapText="1"/>
    </xf>
    <xf borderId="0" fillId="0" fontId="10" numFmtId="0" xfId="0" applyAlignment="1" applyFont="1">
      <alignment horizontal="center" shrinkToFit="0" vertical="center" wrapText="1"/>
    </xf>
    <xf borderId="0" fillId="0" fontId="8" numFmtId="0" xfId="0" applyAlignment="1" applyFont="1">
      <alignment vertical="center"/>
    </xf>
    <xf borderId="0" fillId="0" fontId="8" numFmtId="0" xfId="0" applyAlignment="1" applyFont="1">
      <alignment shrinkToFit="0" vertical="center" wrapText="1"/>
    </xf>
    <xf borderId="34" fillId="0" fontId="3" numFmtId="0" xfId="0" applyBorder="1" applyFont="1"/>
    <xf borderId="0" fillId="0" fontId="7" numFmtId="0" xfId="0" applyAlignment="1" applyFont="1">
      <alignment horizontal="left" vertical="center"/>
    </xf>
    <xf borderId="0" fillId="0" fontId="7" numFmtId="0" xfId="0" applyAlignment="1" applyFont="1">
      <alignment shrinkToFit="0" vertical="bottom" wrapText="1"/>
    </xf>
    <xf borderId="0" fillId="0" fontId="22" numFmtId="0" xfId="0" applyAlignment="1" applyFont="1">
      <alignment horizontal="left" shrinkToFit="0" wrapText="1"/>
    </xf>
    <xf borderId="0" fillId="0" fontId="7" numFmtId="0" xfId="0" applyFont="1"/>
    <xf borderId="0" fillId="0" fontId="7" numFmtId="14" xfId="0" applyAlignment="1" applyFont="1" applyNumberFormat="1">
      <alignment vertical="center"/>
    </xf>
  </cellXfs>
  <cellStyles count="1">
    <cellStyle xfId="0" name="Normal" builtinId="0"/>
  </cellStyles>
  <dxfs count="3">
    <dxf>
      <font/>
      <fill>
        <patternFill patternType="solid">
          <fgColor rgb="FFFFF2CC"/>
          <bgColor rgb="FFFFF2CC"/>
        </patternFill>
      </fill>
      <border/>
    </dxf>
    <dxf>
      <font/>
      <fill>
        <patternFill patternType="solid">
          <fgColor rgb="FFE2FDF1"/>
          <bgColor rgb="FFE2FDF1"/>
        </patternFill>
      </fill>
      <border/>
    </dxf>
    <dxf>
      <font>
        <color rgb="FF000000"/>
      </font>
      <fill>
        <patternFill patternType="solid">
          <fgColor rgb="FFFF0000"/>
          <bgColor rgb="FFFF000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0</xdr:rowOff>
    </xdr:from>
    <xdr:ext cx="1752600" cy="5429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0</xdr:rowOff>
    </xdr:from>
    <xdr:ext cx="1790700" cy="5524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0</xdr:rowOff>
    </xdr:from>
    <xdr:ext cx="1790700" cy="5524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0</xdr:rowOff>
    </xdr:from>
    <xdr:ext cx="1790700" cy="5524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0</xdr:rowOff>
    </xdr:from>
    <xdr:ext cx="1790700" cy="5524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0</xdr:rowOff>
    </xdr:from>
    <xdr:ext cx="1790700" cy="5524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0</xdr:rowOff>
    </xdr:from>
    <xdr:ext cx="1790700" cy="5524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0</xdr:rowOff>
    </xdr:from>
    <xdr:ext cx="1790700" cy="5524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0</xdr:rowOff>
    </xdr:from>
    <xdr:ext cx="1790700" cy="5524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0</xdr:rowOff>
    </xdr:from>
    <xdr:ext cx="1790700" cy="5524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0</xdr:rowOff>
    </xdr:from>
    <xdr:ext cx="1790700" cy="5524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0</xdr:rowOff>
    </xdr:from>
    <xdr:ext cx="1790700" cy="5524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0</xdr:rowOff>
    </xdr:from>
    <xdr:ext cx="1790700" cy="5524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0</xdr:rowOff>
    </xdr:from>
    <xdr:ext cx="1790700" cy="5524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0" Type="http://schemas.openxmlformats.org/officeDocument/2006/relationships/vmlDrawing" Target="../drawings/vmlDrawing2.vml"/><Relationship Id="rId11" Type="http://schemas.openxmlformats.org/officeDocument/2006/relationships/hyperlink" Target="https://drive.google.com/drive/u/0/folders/1YeoYZqnnkrWFg2tXYiOek1dMnjPG5oli" TargetMode="External"/><Relationship Id="rId10" Type="http://schemas.openxmlformats.org/officeDocument/2006/relationships/hyperlink" Target="https://drive.google.com/drive/u/0/folders/1Qh8PP9zXSNOD1hr7yPt4GAIiK9N_pqXS" TargetMode="External"/><Relationship Id="rId13" Type="http://schemas.openxmlformats.org/officeDocument/2006/relationships/hyperlink" Target="https://drive.google.com/drive/u/0/folders/1VDBtvyMCat3mk1-XoqEh94Kg9aC5XxQd" TargetMode="External"/><Relationship Id="rId12" Type="http://schemas.openxmlformats.org/officeDocument/2006/relationships/hyperlink" Target="https://drive.google.com/drive/u/0/folders/1pM-ZYzATVJqF-etH8EoNbEtxkaBnaUte" TargetMode="External"/><Relationship Id="rId1" Type="http://schemas.openxmlformats.org/officeDocument/2006/relationships/comments" Target="../comments2.xml"/><Relationship Id="rId2" Type="http://schemas.openxmlformats.org/officeDocument/2006/relationships/hyperlink" Target="https://drive.google.com/drive/u/0/folders/1obbbVBIfTG5gXU9VZbDKF4H_yBi15p3Y" TargetMode="External"/><Relationship Id="rId3" Type="http://schemas.openxmlformats.org/officeDocument/2006/relationships/hyperlink" Target="https://drive.google.com/drive/u/0/folders/1NHr6PIzpTkZu4mSjVsa3_Oy6hwaErv56" TargetMode="External"/><Relationship Id="rId4" Type="http://schemas.openxmlformats.org/officeDocument/2006/relationships/hyperlink" Target="https://drive.google.com/drive/u/0/folders/1YQ5uGXvLUbgXmUMbMpzAjDfOxATvZ8W9" TargetMode="External"/><Relationship Id="rId9" Type="http://schemas.openxmlformats.org/officeDocument/2006/relationships/hyperlink" Target="https://drive.google.com/drive/u/0/folders/1FElj__OGdKOHpZEskPdsKCQrBBhcTXqj" TargetMode="External"/><Relationship Id="rId15" Type="http://schemas.openxmlformats.org/officeDocument/2006/relationships/hyperlink" Target="https://drive.google.com/drive/u/0/folders/1GkPrCj77vJqDkwAOo9NTc6ZfZhoJ3wCd" TargetMode="External"/><Relationship Id="rId14" Type="http://schemas.openxmlformats.org/officeDocument/2006/relationships/hyperlink" Target="https://drive.google.com/drive/u/0/folders/11mTYNbpTDQxWi60hM7YLIXKJiWnWruOr" TargetMode="External"/><Relationship Id="rId17" Type="http://schemas.openxmlformats.org/officeDocument/2006/relationships/hyperlink" Target="https://drive.google.com/drive/u/0/folders/1c91co2IbO0k7kqWDz1fxnsKu5wFpVG6w" TargetMode="External"/><Relationship Id="rId16" Type="http://schemas.openxmlformats.org/officeDocument/2006/relationships/hyperlink" Target="https://drive.google.com/drive/u/0/folders/1hqaBIUibYOZaRGByxD_3mWKS2nQWu_t0" TargetMode="External"/><Relationship Id="rId5" Type="http://schemas.openxmlformats.org/officeDocument/2006/relationships/hyperlink" Target="https://drive.google.com/drive/u/0/folders/1cLA-nLe6wHlJWyLpoGnjVh5AzzytqdGe" TargetMode="External"/><Relationship Id="rId19" Type="http://schemas.openxmlformats.org/officeDocument/2006/relationships/drawing" Target="../drawings/drawing3.xml"/><Relationship Id="rId6" Type="http://schemas.openxmlformats.org/officeDocument/2006/relationships/hyperlink" Target="https://drive.google.com/drive/u/0/folders/1Xoj_fC3i_zKwUCnA7Jd9t81GLpJ0Lu28" TargetMode="External"/><Relationship Id="rId18" Type="http://schemas.openxmlformats.org/officeDocument/2006/relationships/hyperlink" Target="https://drive.google.com/drive/u/0/folders/1_4YhJAehmBeSJwL47f822V8LVtYycq0R" TargetMode="External"/><Relationship Id="rId7" Type="http://schemas.openxmlformats.org/officeDocument/2006/relationships/hyperlink" Target="https://drive.google.com/drive/u/0/folders/1fhermlAHEpt-4KTwmUl1Kk7EDNWjuRd3" TargetMode="External"/><Relationship Id="rId8" Type="http://schemas.openxmlformats.org/officeDocument/2006/relationships/hyperlink" Target="https://drive.google.com/drive/u/0/folders/1XfhH88fH_IL_LpOsJh00_Tfzs1zZzgy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pageSetUpPr fitToPage="1"/>
  </sheetPr>
  <sheetViews>
    <sheetView workbookViewId="0">
      <pane ySplit="6.0" topLeftCell="A7" activePane="bottomLeft" state="frozen"/>
      <selection activeCell="B8" sqref="B8" pane="bottomLeft"/>
    </sheetView>
  </sheetViews>
  <sheetFormatPr customHeight="1" defaultColWidth="12.63" defaultRowHeight="15.0"/>
  <cols>
    <col customWidth="1" min="1" max="1" width="29.25"/>
    <col customWidth="1" min="2" max="2" width="27.88"/>
    <col customWidth="1" min="3" max="10" width="5.88"/>
    <col customWidth="1" min="11" max="11" width="12.13"/>
    <col customWidth="1" min="12" max="12" width="1.0"/>
  </cols>
  <sheetData>
    <row r="1" ht="3.0" customHeight="1">
      <c r="A1" s="1"/>
      <c r="L1" s="1"/>
    </row>
    <row r="2">
      <c r="A2" s="5" t="str">
        <f>IF('Plan mejoramiento'!B5="Institucional","TABLERO DE MANDO","TABLERO DE MANDO PLAN DE MEJORAMIENTO")</f>
        <v>TABLERO DE MANDO PLAN DE MEJORAMIENTO</v>
      </c>
      <c r="L2" s="1"/>
    </row>
    <row r="3">
      <c r="A3" s="7" t="str">
        <f>IF('Plan mejoramiento'!B5="Institucional","PLAN DE MEJORAMIENTO INSTITUCIONAL",CONCATENATE('Plan mejoramiento'!D5," ",'Plan mejoramiento'!E5))</f>
        <v>Programa: Ingeniería Electrónica</v>
      </c>
      <c r="L3" s="1"/>
    </row>
    <row r="4" ht="3.0" customHeight="1">
      <c r="A4" s="1"/>
      <c r="L4" s="1"/>
    </row>
    <row r="5">
      <c r="A5" s="15" t="str">
        <f>'Plan mejoramiento'!C8</f>
        <v>Descripción de la oportunidad de mejora</v>
      </c>
      <c r="B5" s="17" t="str">
        <f>'Plan mejoramiento'!D8</f>
        <v>Nombre del proyecto</v>
      </c>
      <c r="C5" s="19" t="s">
        <v>13</v>
      </c>
      <c r="D5" s="4"/>
      <c r="E5" s="4"/>
      <c r="F5" s="4"/>
      <c r="G5" s="4"/>
      <c r="H5" s="4"/>
      <c r="I5" s="4"/>
      <c r="J5" s="6"/>
      <c r="K5" s="15" t="s">
        <v>15</v>
      </c>
      <c r="L5" s="1"/>
    </row>
    <row r="6">
      <c r="A6" s="11"/>
      <c r="B6" s="11"/>
      <c r="C6" s="21" t="s">
        <v>17</v>
      </c>
      <c r="D6" s="21" t="s">
        <v>18</v>
      </c>
      <c r="E6" s="21" t="s">
        <v>19</v>
      </c>
      <c r="F6" s="21" t="s">
        <v>20</v>
      </c>
      <c r="G6" s="21" t="s">
        <v>22</v>
      </c>
      <c r="H6" s="21" t="s">
        <v>23</v>
      </c>
      <c r="I6" s="21" t="s">
        <v>24</v>
      </c>
      <c r="J6" s="21" t="s">
        <v>25</v>
      </c>
      <c r="K6" s="11"/>
      <c r="L6" s="1"/>
    </row>
    <row r="7">
      <c r="A7" s="24" t="str">
        <f>'Plan mejoramiento'!C10</f>
        <v>Continuar con estrategias para lograr que los resultados de la prueba Saber Pro sean mayores en todas las competencias ai promedio obtenido por los estudiantes
del grupo de referencia NBC.
</v>
      </c>
      <c r="B7" s="24" t="str">
        <f>'Plan mejoramiento'!G10</f>
        <v>Meta 1.
Mantener cinco (5) puntos por encima de los resultados de la prueba Saber Pro del grupo de referencia </v>
      </c>
      <c r="C7" s="28"/>
      <c r="D7" s="29"/>
      <c r="E7" s="29"/>
      <c r="F7" s="29"/>
      <c r="G7" s="29"/>
      <c r="H7" s="29"/>
      <c r="I7" s="29"/>
      <c r="J7" s="29"/>
      <c r="K7" s="29" t="str">
        <f t="shared" ref="K7:K25" si="1">IFERROR(AVERAGE(C7:J7),"")</f>
        <v/>
      </c>
      <c r="L7" s="32"/>
    </row>
    <row r="8">
      <c r="A8" s="24" t="str">
        <f>'Plan mejoramiento'!C11</f>
        <v>Mantener la participación en las actividades de Bienestar de un porcentaje significativo de estudiantes del Programa en cada periodo, dada la importancia declarada por la institución, en el desarrollo integral y en la permanencia.</v>
      </c>
      <c r="B8" s="33" t="str">
        <f>'Plan mejoramiento'!G11</f>
        <v>Meta 2a.2b, 2c
Incrementar al 60% la participación de la comunidad del programa en actividades de bienestar institucional </v>
      </c>
      <c r="C8" s="34"/>
      <c r="D8" s="29"/>
      <c r="E8" s="29"/>
      <c r="F8" s="29"/>
      <c r="G8" s="29"/>
      <c r="H8" s="29"/>
      <c r="I8" s="29"/>
      <c r="J8" s="29"/>
      <c r="K8" s="29" t="str">
        <f t="shared" si="1"/>
        <v/>
      </c>
      <c r="L8" s="32"/>
    </row>
    <row r="9">
      <c r="A9" s="33" t="str">
        <f>'Plan mejoramiento'!C12</f>
        <v>Bajo porcentaje de profesores y administrativos en actividades de Bienestar</v>
      </c>
      <c r="B9" s="8"/>
      <c r="C9" s="34"/>
      <c r="D9" s="29"/>
      <c r="E9" s="29"/>
      <c r="F9" s="29"/>
      <c r="G9" s="29"/>
      <c r="H9" s="29"/>
      <c r="I9" s="29"/>
      <c r="J9" s="29"/>
      <c r="K9" s="29" t="str">
        <f t="shared" si="1"/>
        <v/>
      </c>
      <c r="L9" s="32"/>
    </row>
    <row r="10">
      <c r="A10" s="11"/>
      <c r="B10" s="11"/>
      <c r="C10" s="34"/>
      <c r="D10" s="29"/>
      <c r="E10" s="29"/>
      <c r="F10" s="29"/>
      <c r="G10" s="29"/>
      <c r="H10" s="29"/>
      <c r="I10" s="29"/>
      <c r="J10" s="29"/>
      <c r="K10" s="29" t="str">
        <f t="shared" si="1"/>
        <v/>
      </c>
      <c r="L10" s="32"/>
    </row>
    <row r="11">
      <c r="A11" s="24" t="str">
        <f>'Plan mejoramiento'!C14</f>
        <v>El número de profesores no es suficiente para las necesidades del programa en relación con el número de estudiantes.</v>
      </c>
      <c r="B11" s="24" t="str">
        <f>'Plan mejoramiento'!G14</f>
        <v>Meta 3.
Desarrollar una (1) convocatoria de planta docente </v>
      </c>
      <c r="C11" s="34"/>
      <c r="D11" s="29"/>
      <c r="E11" s="29"/>
      <c r="F11" s="29"/>
      <c r="G11" s="29"/>
      <c r="H11" s="29"/>
      <c r="I11" s="29"/>
      <c r="J11" s="29"/>
      <c r="K11" s="29" t="str">
        <f t="shared" si="1"/>
        <v/>
      </c>
      <c r="L11" s="32"/>
    </row>
    <row r="12">
      <c r="A12" s="33" t="str">
        <f>'Plan mejoramiento'!C15</f>
        <v>Los tiempos de dedicación a las funciones misionales no cumplen con lo establecido en los indicadores del programa.</v>
      </c>
      <c r="B12" s="24" t="str">
        <f>'Plan mejoramiento'!G15</f>
        <v>Meta 4.
Incrementar al 25% la asignación de tiempos de los docentes TC a la investigación</v>
      </c>
      <c r="C12" s="34"/>
      <c r="D12" s="29"/>
      <c r="E12" s="29"/>
      <c r="F12" s="29"/>
      <c r="G12" s="29"/>
      <c r="H12" s="29"/>
      <c r="I12" s="29"/>
      <c r="J12" s="29"/>
      <c r="K12" s="29" t="str">
        <f t="shared" si="1"/>
        <v/>
      </c>
      <c r="L12" s="32"/>
    </row>
    <row r="13">
      <c r="A13" s="11"/>
      <c r="B13" s="24" t="str">
        <f>'Plan mejoramiento'!G16</f>
        <v>Meta 5.
Incrementar al 20% la asignación de tiempos de los docentes TC a la Proyección Social</v>
      </c>
      <c r="C13" s="34"/>
      <c r="D13" s="29"/>
      <c r="E13" s="29"/>
      <c r="F13" s="29"/>
      <c r="G13" s="29"/>
      <c r="H13" s="29"/>
      <c r="I13" s="29"/>
      <c r="J13" s="29"/>
      <c r="K13" s="29" t="str">
        <f t="shared" si="1"/>
        <v/>
      </c>
      <c r="L13" s="32"/>
    </row>
    <row r="14">
      <c r="A14" s="24" t="str">
        <f>'Plan mejoramiento'!C17</f>
        <v>Continuar con estrategias para aumentar el material de apoyo docente, su aplicación, y difusión.</v>
      </c>
      <c r="B14" s="24" t="str">
        <f>'Plan mejoramiento'!G17</f>
        <v>Meta 6.
Desarrollar una (1) estrategia anual para fomentar la productividad y el material de apoyo docente</v>
      </c>
      <c r="C14" s="34"/>
      <c r="D14" s="29"/>
      <c r="E14" s="29"/>
      <c r="F14" s="29"/>
      <c r="G14" s="29"/>
      <c r="H14" s="29"/>
      <c r="I14" s="29"/>
      <c r="J14" s="29"/>
      <c r="K14" s="29" t="str">
        <f t="shared" si="1"/>
        <v/>
      </c>
      <c r="L14" s="32"/>
    </row>
    <row r="15">
      <c r="A15" s="33" t="str">
        <f>'Plan mejoramiento'!C18</f>
        <v>El número de productos derivados de la participación de profesores, estudiantes y directivos del programa en redes u organismos nacionales e internacionales es bajo.</v>
      </c>
      <c r="B15" s="24" t="str">
        <f>'Plan mejoramiento'!G18</f>
        <v>Meta 7.
Incrementar al 30% la participación de los docentes en redes u organismos nacionales e internacionales para generar productos</v>
      </c>
      <c r="C15" s="34"/>
      <c r="D15" s="29"/>
      <c r="E15" s="29"/>
      <c r="F15" s="29"/>
      <c r="G15" s="29"/>
      <c r="H15" s="29"/>
      <c r="I15" s="29"/>
      <c r="J15" s="29"/>
      <c r="K15" s="29" t="str">
        <f t="shared" si="1"/>
        <v/>
      </c>
      <c r="L15" s="32"/>
    </row>
    <row r="16">
      <c r="A16" s="11"/>
      <c r="B16" s="24" t="str">
        <f>'Plan mejoramiento'!G19</f>
        <v>Meta 8.
Desarrollar un (1) producto bienalmente como resultado de la articulación de redes académicas </v>
      </c>
      <c r="C16" s="46"/>
      <c r="D16" s="29"/>
      <c r="E16" s="29"/>
      <c r="F16" s="29"/>
      <c r="G16" s="29"/>
      <c r="H16" s="29"/>
      <c r="I16" s="29"/>
      <c r="J16" s="29"/>
      <c r="K16" s="29" t="str">
        <f t="shared" si="1"/>
        <v/>
      </c>
      <c r="L16" s="32"/>
    </row>
    <row r="17">
      <c r="A17" s="24" t="str">
        <f>'Plan mejoramiento'!C20</f>
        <v>Continuar promoviendo la movilidad entrante nacional e internacional y la saliente nacional</v>
      </c>
      <c r="B17" s="24" t="str">
        <f>'Plan mejoramiento'!G20</f>
        <v>Meta 9.
Realizar la movilidad de un (1) estudiante extranjero bienalmente</v>
      </c>
      <c r="C17" s="34"/>
      <c r="D17" s="29"/>
      <c r="E17" s="29"/>
      <c r="F17" s="29"/>
      <c r="G17" s="29"/>
      <c r="H17" s="29"/>
      <c r="I17" s="29"/>
      <c r="J17" s="29"/>
      <c r="K17" s="29" t="str">
        <f t="shared" si="1"/>
        <v/>
      </c>
      <c r="L17" s="32"/>
    </row>
    <row r="18">
      <c r="A18" s="24" t="str">
        <f>'Plan mejoramiento'!C21</f>
        <v>Aumentar la movilidad saliente de estudiantes del Programa en distintas modalidades. Aunque el Programa argumenta la reducción en este indicador, en la pandemia y el paro, es posible complementar estos resultados, estableciendo otras actividades en distintas modalidades con efectos en la visibilidad y la cooperación nacional e internacional.</v>
      </c>
      <c r="B18" s="24" t="str">
        <f>'Plan mejoramiento'!G21</f>
        <v>Meta 10.
Lograr que el 20% de estudiantes a partir del V semestre realicen movilidad saliente nacional o internacional anualmente </v>
      </c>
      <c r="C18" s="34"/>
      <c r="D18" s="29"/>
      <c r="E18" s="29"/>
      <c r="F18" s="29"/>
      <c r="G18" s="29"/>
      <c r="H18" s="29"/>
      <c r="I18" s="29"/>
      <c r="J18" s="29"/>
      <c r="K18" s="29" t="str">
        <f t="shared" si="1"/>
        <v/>
      </c>
      <c r="L18" s="32"/>
    </row>
    <row r="19">
      <c r="A19" s="24" t="str">
        <f>'Plan mejoramiento'!C22</f>
        <v>Persistir en acciones que permitan de manera efectiva continuar disminuyendo la deserción en el Programa. La tasa de deserción anual para 3 periodos entre 2019 y
2021 es superior al promedio nacional para nivel de formación.</v>
      </c>
      <c r="B19" s="24" t="str">
        <f>'Plan mejoramiento'!G22</f>
        <v>Meta 11.
Mantener un (1) digito la tasa deserción del programa </v>
      </c>
      <c r="C19" s="46"/>
      <c r="D19" s="29"/>
      <c r="E19" s="29"/>
      <c r="F19" s="29"/>
      <c r="G19" s="29"/>
      <c r="H19" s="29"/>
      <c r="I19" s="29"/>
      <c r="J19" s="29"/>
      <c r="K19" s="29" t="str">
        <f t="shared" si="1"/>
        <v/>
      </c>
      <c r="L19" s="32"/>
    </row>
    <row r="20">
      <c r="A20" s="24" t="str">
        <f>'Plan mejoramiento'!C23</f>
        <v>Continuar con la estrategia para lograr la graduación en el tiempo aprobado en el registro calificado. La tasa acumulada de graduación del Programa al semestre 13 es del 23.57% inferior al promedio nacional para el profesional universitario. Aunque es mejor con relación al proceso anterior de acreditación, aún hay una  Oportunidad de mejora significativa en el comparativo nacional con el promedio del nivel de formación.</v>
      </c>
      <c r="B20" s="24" t="str">
        <f>'Plan mejoramiento'!G23</f>
        <v>Meta 12. 
Mantener en 12,5 de semestres para la graduación</v>
      </c>
      <c r="C20" s="34"/>
      <c r="D20" s="29"/>
      <c r="E20" s="29"/>
      <c r="F20" s="29"/>
      <c r="G20" s="29"/>
      <c r="H20" s="29"/>
      <c r="I20" s="29"/>
      <c r="J20" s="29"/>
      <c r="K20" s="29" t="str">
        <f t="shared" si="1"/>
        <v/>
      </c>
      <c r="L20" s="32"/>
    </row>
    <row r="21" ht="46.5" customHeight="1">
      <c r="A21" s="24" t="str">
        <f>'Plan mejoramiento'!C24</f>
        <v>Continuar con estrategias y apoyos para mejorar la categoría de los grupos de
investigación y el reconocimiento de profesores como investigadores.</v>
      </c>
      <c r="B21" s="24" t="str">
        <f>'Plan mejoramiento'!G24</f>
        <v>Meta 13. 
Lograr que un (1) grupos de investigación suba de categoría</v>
      </c>
      <c r="C21" s="34"/>
      <c r="D21" s="29"/>
      <c r="E21" s="29"/>
      <c r="F21" s="29"/>
      <c r="G21" s="29"/>
      <c r="H21" s="29"/>
      <c r="I21" s="29"/>
      <c r="J21" s="29"/>
      <c r="K21" s="29" t="str">
        <f t="shared" si="1"/>
        <v/>
      </c>
      <c r="L21" s="32"/>
    </row>
    <row r="22" ht="51.75" customHeight="1">
      <c r="A22" s="24" t="str">
        <f>'Plan mejoramiento'!C25</f>
        <v>
Se requiere incrementar el número de registros de egresados en la base de datos</v>
      </c>
      <c r="B22" s="24" t="str">
        <f>'Plan mejoramiento'!G25</f>
        <v>Meta 14. 
Aumentar al 45% los registros actualizados de los egresados en la base de datos del Programa</v>
      </c>
      <c r="C22" s="34"/>
      <c r="D22" s="29"/>
      <c r="E22" s="29"/>
      <c r="F22" s="29"/>
      <c r="G22" s="29"/>
      <c r="H22" s="29"/>
      <c r="I22" s="29"/>
      <c r="J22" s="29"/>
      <c r="K22" s="29" t="str">
        <f t="shared" si="1"/>
        <v/>
      </c>
      <c r="L22" s="32"/>
    </row>
    <row r="23" ht="110.25" customHeight="1">
      <c r="A23" s="33" t="str">
        <f>'Plan mejoramiento'!C26</f>
        <v>Continuar robusteciendo la infraestructura de laboratorios y equipos disponibles para el Programa en las distintas líneas de profundización, tanto para la docencia,
coma para la investigación, y cumplir con el plan de mantenimiento y calibración de equipos de laboratorios de manera permanente.</v>
      </c>
      <c r="B23" s="24" t="str">
        <f>'Plan mejoramiento'!G26</f>
        <v>Meta 15. 
Construir un (1) complejo de laboratorios</v>
      </c>
      <c r="C23" s="34"/>
      <c r="D23" s="29"/>
      <c r="E23" s="29"/>
      <c r="F23" s="29"/>
      <c r="G23" s="29"/>
      <c r="H23" s="29"/>
      <c r="I23" s="29"/>
      <c r="J23" s="29"/>
      <c r="K23" s="29" t="str">
        <f t="shared" si="1"/>
        <v/>
      </c>
      <c r="L23" s="32"/>
    </row>
    <row r="24" ht="55.5" customHeight="1">
      <c r="A24" s="11"/>
      <c r="B24" s="24" t="str">
        <f>'Plan mejoramiento'!G27</f>
        <v>Meta 16. 
Ejecutar el 100% del plan de adquisición de equipos de medios educativos para los laboratorios del Sistema de Gestión de Laboratorios.</v>
      </c>
      <c r="C24" s="34"/>
      <c r="D24" s="29"/>
      <c r="E24" s="29"/>
      <c r="F24" s="29"/>
      <c r="G24" s="29"/>
      <c r="H24" s="29"/>
      <c r="I24" s="29"/>
      <c r="J24" s="29"/>
      <c r="K24" s="29" t="str">
        <f t="shared" si="1"/>
        <v/>
      </c>
      <c r="L24" s="32"/>
    </row>
    <row r="25" ht="53.25" customHeight="1">
      <c r="A25" s="24" t="str">
        <f>'Plan mejoramiento'!C28</f>
        <v>Se requiere fortalecer el seguimiento de la medición de impacto que evidencie el desarrollo de las funciones misionales</v>
      </c>
      <c r="B25" s="24" t="str">
        <f>'Plan mejoramiento'!G28</f>
        <v>Meta 17. 
Obtener el nivel de cumplimiento mayor o igual al 80% en la medición del impacto</v>
      </c>
      <c r="C25" s="34"/>
      <c r="D25" s="29"/>
      <c r="E25" s="29"/>
      <c r="F25" s="29"/>
      <c r="G25" s="29"/>
      <c r="H25" s="29"/>
      <c r="I25" s="29"/>
      <c r="J25" s="29"/>
      <c r="K25" s="29" t="str">
        <f t="shared" si="1"/>
        <v/>
      </c>
      <c r="L25" s="32"/>
    </row>
    <row r="26" ht="22.5" customHeight="1">
      <c r="A26" s="66" t="s">
        <v>75</v>
      </c>
      <c r="B26" s="4"/>
      <c r="C26" s="4"/>
      <c r="D26" s="4"/>
      <c r="E26" s="4"/>
      <c r="F26" s="4"/>
      <c r="G26" s="4"/>
      <c r="H26" s="4"/>
      <c r="I26" s="4"/>
      <c r="J26" s="6"/>
      <c r="K26" s="67"/>
      <c r="L26" s="32"/>
    </row>
  </sheetData>
  <mergeCells count="14">
    <mergeCell ref="B5:B6"/>
    <mergeCell ref="B8:B10"/>
    <mergeCell ref="A9:A10"/>
    <mergeCell ref="A12:A13"/>
    <mergeCell ref="A15:A16"/>
    <mergeCell ref="A23:A24"/>
    <mergeCell ref="A26:J26"/>
    <mergeCell ref="A1:K1"/>
    <mergeCell ref="A2:K2"/>
    <mergeCell ref="A3:K3"/>
    <mergeCell ref="A4:K4"/>
    <mergeCell ref="A5:A6"/>
    <mergeCell ref="C5:J5"/>
    <mergeCell ref="K5:K6"/>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0"/>
  <cols>
    <col customWidth="1" min="1" max="1" width="25.25"/>
    <col customWidth="1" min="2" max="2" width="17.13"/>
    <col customWidth="1" min="3" max="3" width="36.63"/>
    <col customWidth="1" min="4" max="4" width="27.38"/>
    <col customWidth="1" min="5" max="5" width="17.75"/>
    <col customWidth="1" min="6" max="6" width="13.63"/>
    <col customWidth="1" min="7" max="7" width="26.88"/>
    <col customWidth="1" min="8" max="8" width="19.13"/>
    <col customWidth="1" min="9" max="9" width="39.88"/>
    <col customWidth="1" min="10" max="10" width="20.38"/>
    <col customWidth="1" min="11" max="11" width="11.13"/>
    <col customWidth="1" hidden="1" min="12" max="12" width="6.38"/>
    <col customWidth="1" min="13" max="14" width="5.25"/>
    <col customWidth="1" min="15" max="15" width="6.38"/>
    <col customWidth="1" min="16" max="20" width="5.25"/>
    <col customWidth="1" min="21" max="21" width="24.13"/>
    <col customWidth="1" min="22" max="22" width="1.13"/>
  </cols>
  <sheetData>
    <row r="1" ht="15.0" customHeight="1">
      <c r="A1" s="2"/>
      <c r="B1" s="3" t="s">
        <v>0</v>
      </c>
      <c r="C1" s="4"/>
      <c r="D1" s="4"/>
      <c r="E1" s="4"/>
      <c r="F1" s="4"/>
      <c r="G1" s="4"/>
      <c r="H1" s="4"/>
      <c r="I1" s="4"/>
      <c r="J1" s="4"/>
      <c r="K1" s="4"/>
      <c r="L1" s="4"/>
      <c r="M1" s="4"/>
      <c r="N1" s="4"/>
      <c r="O1" s="4"/>
      <c r="P1" s="4"/>
      <c r="Q1" s="4"/>
      <c r="R1" s="4"/>
      <c r="S1" s="4"/>
      <c r="T1" s="4"/>
      <c r="U1" s="6"/>
      <c r="V1" s="7"/>
    </row>
    <row r="2" ht="15.0" customHeight="1">
      <c r="A2" s="8"/>
      <c r="B2" s="14" t="s">
        <v>4</v>
      </c>
      <c r="C2" s="4"/>
      <c r="D2" s="4"/>
      <c r="E2" s="4"/>
      <c r="F2" s="4"/>
      <c r="G2" s="4"/>
      <c r="H2" s="4"/>
      <c r="I2" s="4"/>
      <c r="J2" s="4"/>
      <c r="K2" s="4"/>
      <c r="L2" s="4"/>
      <c r="M2" s="4"/>
      <c r="N2" s="4"/>
      <c r="O2" s="4"/>
      <c r="P2" s="4"/>
      <c r="Q2" s="4"/>
      <c r="R2" s="4"/>
      <c r="S2" s="4"/>
      <c r="T2" s="4"/>
      <c r="U2" s="6"/>
      <c r="V2" s="10"/>
    </row>
    <row r="3" ht="15.0" customHeight="1">
      <c r="A3" s="11"/>
      <c r="B3" s="12" t="s">
        <v>11</v>
      </c>
      <c r="C3" s="4"/>
      <c r="D3" s="4"/>
      <c r="E3" s="4"/>
      <c r="F3" s="4"/>
      <c r="G3" s="4"/>
      <c r="H3" s="12" t="s">
        <v>14</v>
      </c>
      <c r="I3" s="4"/>
      <c r="J3" s="20" t="s">
        <v>16</v>
      </c>
      <c r="K3" s="4"/>
      <c r="L3" s="4"/>
      <c r="M3" s="4"/>
      <c r="N3" s="4"/>
      <c r="O3" s="4"/>
      <c r="P3" s="4"/>
      <c r="Q3" s="4"/>
      <c r="R3" s="4"/>
      <c r="S3" s="4"/>
      <c r="T3" s="6"/>
      <c r="U3" s="12" t="s">
        <v>21</v>
      </c>
      <c r="V3" s="10"/>
    </row>
    <row r="4" ht="2.25" customHeight="1">
      <c r="A4" s="5"/>
      <c r="V4" s="10"/>
    </row>
    <row r="5">
      <c r="A5" s="23" t="s">
        <v>12</v>
      </c>
      <c r="B5" s="18" t="s">
        <v>26</v>
      </c>
      <c r="C5" s="6"/>
      <c r="D5" s="23" t="str">
        <f>IF(B5=Listas!A5,"Programa:","")</f>
        <v>Programa:</v>
      </c>
      <c r="E5" s="18" t="s">
        <v>27</v>
      </c>
      <c r="F5" s="4"/>
      <c r="G5" s="6"/>
      <c r="H5" s="23" t="s">
        <v>28</v>
      </c>
      <c r="I5" s="25" t="s">
        <v>29</v>
      </c>
      <c r="J5" s="9" t="s">
        <v>30</v>
      </c>
      <c r="K5" s="6"/>
      <c r="L5" s="18" t="s">
        <v>31</v>
      </c>
      <c r="M5" s="4"/>
      <c r="N5" s="4"/>
      <c r="O5" s="4"/>
      <c r="P5" s="4"/>
      <c r="Q5" s="4"/>
      <c r="R5" s="4"/>
      <c r="S5" s="4"/>
      <c r="T5" s="4"/>
      <c r="U5" s="6"/>
      <c r="V5" s="10"/>
    </row>
    <row r="6">
      <c r="A6" s="23" t="str">
        <f>IF(B5=Listas!A5,"Facultad:","")</f>
        <v>Facultad:</v>
      </c>
      <c r="B6" s="18" t="s">
        <v>32</v>
      </c>
      <c r="C6" s="6"/>
      <c r="D6" s="23" t="str">
        <f>IF(B5=Listas!A5,"Nivel de formación:","")</f>
        <v>Nivel de formación:</v>
      </c>
      <c r="E6" s="18" t="s">
        <v>36</v>
      </c>
      <c r="F6" s="4"/>
      <c r="G6" s="6"/>
      <c r="H6" s="23" t="s">
        <v>37</v>
      </c>
      <c r="I6" s="41" t="s">
        <v>38</v>
      </c>
      <c r="J6" s="9" t="str">
        <f>IF(B5=Listas!A5,"Director de programa:","")</f>
        <v>Director de programa:</v>
      </c>
      <c r="K6" s="6"/>
      <c r="L6" s="18" t="s">
        <v>44</v>
      </c>
      <c r="M6" s="4"/>
      <c r="N6" s="4"/>
      <c r="O6" s="4"/>
      <c r="P6" s="4"/>
      <c r="Q6" s="4"/>
      <c r="R6" s="4"/>
      <c r="S6" s="4"/>
      <c r="T6" s="4"/>
      <c r="U6" s="6"/>
      <c r="V6" s="10"/>
    </row>
    <row r="7" ht="2.25" customHeight="1">
      <c r="A7" s="1"/>
      <c r="V7" s="10"/>
    </row>
    <row r="8" ht="19.5" customHeight="1">
      <c r="A8" s="48" t="s">
        <v>45</v>
      </c>
      <c r="B8" s="48" t="s">
        <v>49</v>
      </c>
      <c r="C8" s="48" t="s">
        <v>50</v>
      </c>
      <c r="D8" s="48" t="s">
        <v>51</v>
      </c>
      <c r="E8" s="50" t="s">
        <v>52</v>
      </c>
      <c r="F8" s="48" t="s">
        <v>53</v>
      </c>
      <c r="G8" s="48" t="s">
        <v>54</v>
      </c>
      <c r="H8" s="48" t="s">
        <v>55</v>
      </c>
      <c r="I8" s="50" t="s">
        <v>56</v>
      </c>
      <c r="J8" s="48" t="s">
        <v>57</v>
      </c>
      <c r="K8" s="48" t="s">
        <v>58</v>
      </c>
      <c r="L8" s="52" t="s">
        <v>59</v>
      </c>
      <c r="M8" s="4"/>
      <c r="N8" s="4"/>
      <c r="O8" s="4"/>
      <c r="P8" s="4"/>
      <c r="Q8" s="4"/>
      <c r="R8" s="4"/>
      <c r="S8" s="4"/>
      <c r="T8" s="6"/>
      <c r="U8" s="48" t="s">
        <v>60</v>
      </c>
      <c r="V8" s="10"/>
    </row>
    <row r="9">
      <c r="A9" s="11"/>
      <c r="B9" s="11"/>
      <c r="C9" s="11"/>
      <c r="D9" s="11"/>
      <c r="E9" s="11"/>
      <c r="F9" s="11"/>
      <c r="G9" s="11"/>
      <c r="H9" s="11"/>
      <c r="I9" s="11"/>
      <c r="J9" s="11"/>
      <c r="K9" s="11"/>
      <c r="L9" s="57">
        <v>44958.0</v>
      </c>
      <c r="M9" s="59" t="s">
        <v>62</v>
      </c>
      <c r="N9" s="59" t="s">
        <v>63</v>
      </c>
      <c r="O9" s="59" t="s">
        <v>64</v>
      </c>
      <c r="P9" s="61" t="s">
        <v>65</v>
      </c>
      <c r="Q9" s="59" t="s">
        <v>66</v>
      </c>
      <c r="R9" s="59" t="s">
        <v>67</v>
      </c>
      <c r="S9" s="59" t="s">
        <v>68</v>
      </c>
      <c r="T9" s="48" t="s">
        <v>69</v>
      </c>
      <c r="U9" s="11"/>
      <c r="V9" s="10"/>
    </row>
    <row r="10" ht="115.5" customHeight="1">
      <c r="A10" s="62" t="s">
        <v>70</v>
      </c>
      <c r="B10" s="64" t="s">
        <v>72</v>
      </c>
      <c r="C10" s="65" t="s">
        <v>73</v>
      </c>
      <c r="D10" s="64" t="s">
        <v>77</v>
      </c>
      <c r="E10" s="69">
        <f t="shared" ref="E10:E11" si="1">100%/17</f>
        <v>0.05882352941</v>
      </c>
      <c r="F10" s="64" t="s">
        <v>80</v>
      </c>
      <c r="G10" s="70" t="s">
        <v>81</v>
      </c>
      <c r="H10" s="64" t="s">
        <v>82</v>
      </c>
      <c r="I10" s="71" t="s">
        <v>83</v>
      </c>
      <c r="J10" s="72" t="s">
        <v>85</v>
      </c>
      <c r="K10" s="64" t="s">
        <v>86</v>
      </c>
      <c r="L10" s="64">
        <v>165.0</v>
      </c>
      <c r="M10" s="73">
        <v>165.0</v>
      </c>
      <c r="N10" s="64">
        <v>165.0</v>
      </c>
      <c r="O10" s="64">
        <v>165.0</v>
      </c>
      <c r="P10" s="64">
        <v>165.0</v>
      </c>
      <c r="Q10" s="64">
        <v>165.0</v>
      </c>
      <c r="R10" s="64">
        <v>165.0</v>
      </c>
      <c r="S10" s="64">
        <v>165.0</v>
      </c>
      <c r="T10" s="64">
        <v>165.0</v>
      </c>
      <c r="U10" s="74" t="s">
        <v>87</v>
      </c>
      <c r="V10" s="75"/>
    </row>
    <row r="11" ht="91.5" customHeight="1">
      <c r="A11" s="76" t="s">
        <v>89</v>
      </c>
      <c r="B11" s="77" t="s">
        <v>72</v>
      </c>
      <c r="C11" s="78" t="s">
        <v>91</v>
      </c>
      <c r="D11" s="80" t="s">
        <v>92</v>
      </c>
      <c r="E11" s="81">
        <f t="shared" si="1"/>
        <v>0.05882352941</v>
      </c>
      <c r="F11" s="82" t="s">
        <v>80</v>
      </c>
      <c r="G11" s="83" t="s">
        <v>96</v>
      </c>
      <c r="H11" s="84" t="s">
        <v>97</v>
      </c>
      <c r="I11" s="85" t="s">
        <v>98</v>
      </c>
      <c r="J11" s="72" t="s">
        <v>85</v>
      </c>
      <c r="K11" s="86">
        <v>0.501</v>
      </c>
      <c r="L11" s="87">
        <v>0.501</v>
      </c>
      <c r="M11" s="88">
        <v>0.6</v>
      </c>
      <c r="N11" s="89">
        <v>0.6</v>
      </c>
      <c r="O11" s="89">
        <v>0.6</v>
      </c>
      <c r="P11" s="89">
        <v>0.6</v>
      </c>
      <c r="Q11" s="89">
        <v>0.6</v>
      </c>
      <c r="R11" s="89">
        <v>0.6</v>
      </c>
      <c r="S11" s="89">
        <v>0.6</v>
      </c>
      <c r="T11" s="89">
        <v>0.6</v>
      </c>
      <c r="U11" s="82" t="s">
        <v>99</v>
      </c>
      <c r="V11" s="32"/>
    </row>
    <row r="12">
      <c r="A12" s="91"/>
      <c r="B12" s="92"/>
      <c r="C12" s="93" t="s">
        <v>101</v>
      </c>
      <c r="D12" s="94"/>
      <c r="E12" s="91"/>
      <c r="F12" s="91"/>
      <c r="G12" s="91"/>
      <c r="H12" s="72" t="s">
        <v>102</v>
      </c>
      <c r="I12" s="91"/>
      <c r="J12" s="72" t="s">
        <v>85</v>
      </c>
      <c r="K12" s="95">
        <v>0.14</v>
      </c>
      <c r="L12" s="95">
        <v>0.14</v>
      </c>
      <c r="M12" s="96">
        <v>0.6</v>
      </c>
      <c r="N12" s="95">
        <v>0.6</v>
      </c>
      <c r="O12" s="95">
        <v>0.6</v>
      </c>
      <c r="P12" s="95">
        <v>0.6</v>
      </c>
      <c r="Q12" s="95">
        <v>0.6</v>
      </c>
      <c r="R12" s="95">
        <v>0.6</v>
      </c>
      <c r="S12" s="95">
        <v>0.6</v>
      </c>
      <c r="T12" s="95">
        <v>0.6</v>
      </c>
      <c r="U12" s="91"/>
      <c r="V12" s="32"/>
    </row>
    <row r="13">
      <c r="A13" s="97"/>
      <c r="B13" s="98"/>
      <c r="C13" s="11"/>
      <c r="D13" s="99"/>
      <c r="E13" s="97"/>
      <c r="F13" s="97"/>
      <c r="G13" s="97"/>
      <c r="H13" s="72" t="s">
        <v>106</v>
      </c>
      <c r="I13" s="97"/>
      <c r="J13" s="72" t="s">
        <v>85</v>
      </c>
      <c r="K13" s="95">
        <v>0.08</v>
      </c>
      <c r="L13" s="95">
        <v>0.08</v>
      </c>
      <c r="M13" s="96">
        <v>0.6</v>
      </c>
      <c r="N13" s="95">
        <v>0.6</v>
      </c>
      <c r="O13" s="95">
        <v>0.6</v>
      </c>
      <c r="P13" s="95">
        <v>0.6</v>
      </c>
      <c r="Q13" s="95">
        <v>0.6</v>
      </c>
      <c r="R13" s="95">
        <v>0.6</v>
      </c>
      <c r="S13" s="95">
        <v>0.6</v>
      </c>
      <c r="T13" s="95">
        <v>0.6</v>
      </c>
      <c r="U13" s="97"/>
      <c r="V13" s="32"/>
    </row>
    <row r="14">
      <c r="A14" s="100" t="s">
        <v>107</v>
      </c>
      <c r="B14" s="72" t="s">
        <v>110</v>
      </c>
      <c r="C14" s="101" t="s">
        <v>111</v>
      </c>
      <c r="D14" s="72" t="s">
        <v>113</v>
      </c>
      <c r="E14" s="69">
        <f t="shared" ref="E14:E28" si="2">100%/17</f>
        <v>0.05882352941</v>
      </c>
      <c r="F14" s="72" t="s">
        <v>118</v>
      </c>
      <c r="G14" s="102" t="s">
        <v>119</v>
      </c>
      <c r="H14" s="72" t="s">
        <v>120</v>
      </c>
      <c r="I14" s="103" t="s">
        <v>121</v>
      </c>
      <c r="J14" s="72" t="s">
        <v>122</v>
      </c>
      <c r="K14" s="72">
        <v>1.0</v>
      </c>
      <c r="L14" s="72">
        <v>0.0</v>
      </c>
      <c r="M14" s="72">
        <v>0.0</v>
      </c>
      <c r="N14" s="104">
        <v>0.0</v>
      </c>
      <c r="O14" s="104">
        <v>1.0</v>
      </c>
      <c r="P14" s="104">
        <v>0.0</v>
      </c>
      <c r="Q14" s="104">
        <v>0.0</v>
      </c>
      <c r="R14" s="104">
        <v>0.0</v>
      </c>
      <c r="S14" s="104">
        <v>0.0</v>
      </c>
      <c r="T14" s="104">
        <f>SUM(N14:O14)</f>
        <v>1</v>
      </c>
      <c r="U14" s="104" t="s">
        <v>123</v>
      </c>
      <c r="V14" s="32"/>
    </row>
    <row r="15" ht="83.25" customHeight="1">
      <c r="A15" s="91"/>
      <c r="B15" s="105" t="s">
        <v>110</v>
      </c>
      <c r="C15" s="106" t="s">
        <v>125</v>
      </c>
      <c r="D15" s="72" t="s">
        <v>126</v>
      </c>
      <c r="E15" s="69">
        <f t="shared" si="2"/>
        <v>0.05882352941</v>
      </c>
      <c r="F15" s="105" t="s">
        <v>118</v>
      </c>
      <c r="G15" s="102" t="s">
        <v>127</v>
      </c>
      <c r="H15" s="72" t="s">
        <v>128</v>
      </c>
      <c r="I15" s="107" t="s">
        <v>129</v>
      </c>
      <c r="J15" s="72" t="s">
        <v>85</v>
      </c>
      <c r="K15" s="95">
        <v>0.07</v>
      </c>
      <c r="L15" s="95">
        <v>0.07</v>
      </c>
      <c r="M15" s="96">
        <v>0.1</v>
      </c>
      <c r="N15" s="95">
        <v>0.15</v>
      </c>
      <c r="O15" s="95">
        <v>0.2</v>
      </c>
      <c r="P15" s="95">
        <v>0.25</v>
      </c>
      <c r="Q15" s="95">
        <v>0.25</v>
      </c>
      <c r="R15" s="108">
        <v>0.25</v>
      </c>
      <c r="S15" s="108">
        <v>0.25</v>
      </c>
      <c r="T15" s="108">
        <v>0.25</v>
      </c>
      <c r="U15" s="109" t="s">
        <v>130</v>
      </c>
      <c r="V15" s="32"/>
    </row>
    <row r="16" ht="50.25" customHeight="1">
      <c r="A16" s="91"/>
      <c r="B16" s="97"/>
      <c r="C16" s="97"/>
      <c r="D16" s="72" t="s">
        <v>131</v>
      </c>
      <c r="E16" s="69">
        <f t="shared" si="2"/>
        <v>0.05882352941</v>
      </c>
      <c r="F16" s="97"/>
      <c r="G16" s="102" t="s">
        <v>132</v>
      </c>
      <c r="H16" s="72" t="s">
        <v>133</v>
      </c>
      <c r="I16" s="97"/>
      <c r="J16" s="72" t="s">
        <v>85</v>
      </c>
      <c r="K16" s="95">
        <v>0.04</v>
      </c>
      <c r="L16" s="95">
        <v>0.04</v>
      </c>
      <c r="M16" s="96">
        <v>0.08</v>
      </c>
      <c r="N16" s="95">
        <v>0.12</v>
      </c>
      <c r="O16" s="95">
        <v>0.16</v>
      </c>
      <c r="P16" s="95">
        <v>0.2</v>
      </c>
      <c r="Q16" s="95">
        <v>0.2</v>
      </c>
      <c r="R16" s="108">
        <v>0.2</v>
      </c>
      <c r="S16" s="108">
        <v>0.2</v>
      </c>
      <c r="T16" s="108">
        <v>0.2</v>
      </c>
      <c r="U16" s="97"/>
      <c r="V16" s="32"/>
    </row>
    <row r="17" ht="109.5" customHeight="1">
      <c r="A17" s="91"/>
      <c r="B17" s="72" t="s">
        <v>72</v>
      </c>
      <c r="C17" s="110" t="s">
        <v>134</v>
      </c>
      <c r="D17" s="72" t="s">
        <v>126</v>
      </c>
      <c r="E17" s="69">
        <f t="shared" si="2"/>
        <v>0.05882352941</v>
      </c>
      <c r="F17" s="72" t="s">
        <v>135</v>
      </c>
      <c r="G17" s="102" t="s">
        <v>136</v>
      </c>
      <c r="H17" s="72" t="s">
        <v>137</v>
      </c>
      <c r="I17" s="103" t="s">
        <v>138</v>
      </c>
      <c r="J17" s="72" t="s">
        <v>139</v>
      </c>
      <c r="K17" s="72">
        <v>1.0</v>
      </c>
      <c r="L17" s="72">
        <v>1.0</v>
      </c>
      <c r="M17" s="72">
        <v>1.0</v>
      </c>
      <c r="N17" s="72">
        <v>1.0</v>
      </c>
      <c r="O17" s="72">
        <v>1.0</v>
      </c>
      <c r="P17" s="72">
        <v>1.0</v>
      </c>
      <c r="Q17" s="72">
        <v>1.0</v>
      </c>
      <c r="R17" s="72">
        <v>1.0</v>
      </c>
      <c r="S17" s="72">
        <v>1.0</v>
      </c>
      <c r="T17" s="72">
        <v>1.0</v>
      </c>
      <c r="U17" s="102" t="s">
        <v>140</v>
      </c>
      <c r="V17" s="75"/>
    </row>
    <row r="18" ht="86.25" customHeight="1">
      <c r="A18" s="111" t="s">
        <v>141</v>
      </c>
      <c r="B18" s="105" t="s">
        <v>110</v>
      </c>
      <c r="C18" s="112" t="s">
        <v>142</v>
      </c>
      <c r="D18" s="105" t="s">
        <v>144</v>
      </c>
      <c r="E18" s="69">
        <f t="shared" si="2"/>
        <v>0.05882352941</v>
      </c>
      <c r="F18" s="105" t="s">
        <v>80</v>
      </c>
      <c r="G18" s="102" t="s">
        <v>146</v>
      </c>
      <c r="H18" s="72" t="s">
        <v>147</v>
      </c>
      <c r="I18" s="112" t="s">
        <v>148</v>
      </c>
      <c r="J18" s="105" t="s">
        <v>149</v>
      </c>
      <c r="K18" s="69">
        <f>4/29</f>
        <v>0.1379310345</v>
      </c>
      <c r="L18" s="69">
        <v>0.1379</v>
      </c>
      <c r="M18" s="95">
        <v>0.2</v>
      </c>
      <c r="N18" s="108">
        <v>0.22</v>
      </c>
      <c r="O18" s="108">
        <v>0.25</v>
      </c>
      <c r="P18" s="108">
        <v>0.3</v>
      </c>
      <c r="Q18" s="108">
        <v>0.3</v>
      </c>
      <c r="R18" s="108">
        <v>0.3</v>
      </c>
      <c r="S18" s="108">
        <v>0.3</v>
      </c>
      <c r="T18" s="108">
        <v>0.3</v>
      </c>
      <c r="U18" s="109" t="s">
        <v>152</v>
      </c>
      <c r="V18" s="32"/>
    </row>
    <row r="19" ht="84.75" customHeight="1">
      <c r="A19" s="91"/>
      <c r="B19" s="97"/>
      <c r="C19" s="97"/>
      <c r="D19" s="97"/>
      <c r="E19" s="69">
        <f t="shared" si="2"/>
        <v>0.05882352941</v>
      </c>
      <c r="F19" s="97"/>
      <c r="G19" s="102" t="s">
        <v>154</v>
      </c>
      <c r="H19" s="72" t="s">
        <v>155</v>
      </c>
      <c r="I19" s="97"/>
      <c r="J19" s="97"/>
      <c r="K19" s="72">
        <v>0.0</v>
      </c>
      <c r="L19" s="116">
        <v>0.0</v>
      </c>
      <c r="M19" s="116">
        <v>1.0</v>
      </c>
      <c r="N19" s="118">
        <v>0.0</v>
      </c>
      <c r="O19" s="118">
        <v>1.0</v>
      </c>
      <c r="P19" s="118">
        <v>0.0</v>
      </c>
      <c r="Q19" s="118">
        <v>1.0</v>
      </c>
      <c r="R19" s="118">
        <v>0.0</v>
      </c>
      <c r="S19" s="118">
        <v>0.0</v>
      </c>
      <c r="T19" s="118">
        <v>1.0</v>
      </c>
      <c r="U19" s="97"/>
      <c r="V19" s="32"/>
    </row>
    <row r="20" ht="78.75" customHeight="1">
      <c r="A20" s="91"/>
      <c r="B20" s="72" t="s">
        <v>72</v>
      </c>
      <c r="C20" s="120" t="s">
        <v>162</v>
      </c>
      <c r="D20" s="72" t="s">
        <v>144</v>
      </c>
      <c r="E20" s="69">
        <f t="shared" si="2"/>
        <v>0.05882352941</v>
      </c>
      <c r="F20" s="72" t="s">
        <v>80</v>
      </c>
      <c r="G20" s="102" t="s">
        <v>163</v>
      </c>
      <c r="H20" s="72" t="s">
        <v>164</v>
      </c>
      <c r="I20" s="121" t="s">
        <v>165</v>
      </c>
      <c r="J20" s="122" t="s">
        <v>166</v>
      </c>
      <c r="K20" s="72">
        <v>1.0</v>
      </c>
      <c r="L20" s="72">
        <v>0.0</v>
      </c>
      <c r="M20" s="72">
        <v>1.0</v>
      </c>
      <c r="N20" s="104">
        <v>0.0</v>
      </c>
      <c r="O20" s="104">
        <v>1.0</v>
      </c>
      <c r="P20" s="104">
        <v>0.0</v>
      </c>
      <c r="Q20" s="104">
        <v>1.0</v>
      </c>
      <c r="R20" s="104">
        <v>0.0</v>
      </c>
      <c r="S20" s="104">
        <v>0.0</v>
      </c>
      <c r="T20" s="104">
        <v>1.0</v>
      </c>
      <c r="U20" s="104" t="s">
        <v>167</v>
      </c>
      <c r="V20" s="32"/>
    </row>
    <row r="21" ht="155.25" customHeight="1">
      <c r="A21" s="97"/>
      <c r="B21" s="72" t="s">
        <v>72</v>
      </c>
      <c r="C21" s="121" t="s">
        <v>168</v>
      </c>
      <c r="D21" s="72" t="s">
        <v>144</v>
      </c>
      <c r="E21" s="69">
        <f t="shared" si="2"/>
        <v>0.05882352941</v>
      </c>
      <c r="F21" s="72" t="s">
        <v>80</v>
      </c>
      <c r="G21" s="102" t="s">
        <v>171</v>
      </c>
      <c r="H21" s="72" t="s">
        <v>172</v>
      </c>
      <c r="I21" s="121" t="s">
        <v>173</v>
      </c>
      <c r="J21" s="122" t="s">
        <v>166</v>
      </c>
      <c r="K21" s="95">
        <f>16/103</f>
        <v>0.1553398058</v>
      </c>
      <c r="L21" s="95">
        <f>K21</f>
        <v>0.1553398058</v>
      </c>
      <c r="M21" s="95">
        <v>0.16</v>
      </c>
      <c r="N21" s="95">
        <v>0.17</v>
      </c>
      <c r="O21" s="95">
        <v>0.18</v>
      </c>
      <c r="P21" s="95">
        <v>0.19</v>
      </c>
      <c r="Q21" s="95">
        <v>0.2</v>
      </c>
      <c r="R21" s="95">
        <v>0.2</v>
      </c>
      <c r="S21" s="95">
        <v>0.2</v>
      </c>
      <c r="T21" s="95">
        <v>0.2</v>
      </c>
      <c r="U21" s="72" t="s">
        <v>177</v>
      </c>
      <c r="V21" s="32"/>
    </row>
    <row r="22" ht="108.0" customHeight="1">
      <c r="A22" s="124" t="s">
        <v>178</v>
      </c>
      <c r="B22" s="72" t="s">
        <v>72</v>
      </c>
      <c r="C22" s="121" t="s">
        <v>180</v>
      </c>
      <c r="D22" s="72" t="s">
        <v>92</v>
      </c>
      <c r="E22" s="69">
        <f t="shared" si="2"/>
        <v>0.05882352941</v>
      </c>
      <c r="F22" s="72" t="s">
        <v>80</v>
      </c>
      <c r="G22" s="102" t="s">
        <v>181</v>
      </c>
      <c r="H22" s="72" t="s">
        <v>182</v>
      </c>
      <c r="I22" s="120" t="s">
        <v>183</v>
      </c>
      <c r="J22" s="72" t="s">
        <v>85</v>
      </c>
      <c r="K22" s="72" t="s">
        <v>184</v>
      </c>
      <c r="L22" s="69">
        <v>0.056</v>
      </c>
      <c r="M22" s="69">
        <v>0.056</v>
      </c>
      <c r="N22" s="95">
        <v>0.05</v>
      </c>
      <c r="O22" s="95">
        <v>0.045</v>
      </c>
      <c r="P22" s="95">
        <v>0.04</v>
      </c>
      <c r="Q22" s="95">
        <v>0.04</v>
      </c>
      <c r="R22" s="95">
        <v>0.04</v>
      </c>
      <c r="S22" s="95">
        <v>0.04</v>
      </c>
      <c r="T22" s="95">
        <v>0.04</v>
      </c>
      <c r="U22" s="72" t="s">
        <v>185</v>
      </c>
      <c r="V22" s="32"/>
    </row>
    <row r="23">
      <c r="A23" s="91"/>
      <c r="B23" s="72" t="s">
        <v>72</v>
      </c>
      <c r="C23" s="121" t="s">
        <v>187</v>
      </c>
      <c r="D23" s="72" t="s">
        <v>92</v>
      </c>
      <c r="E23" s="69">
        <f t="shared" si="2"/>
        <v>0.05882352941</v>
      </c>
      <c r="F23" s="72" t="s">
        <v>80</v>
      </c>
      <c r="G23" s="102" t="s">
        <v>188</v>
      </c>
      <c r="H23" s="72" t="s">
        <v>189</v>
      </c>
      <c r="I23" s="121" t="s">
        <v>190</v>
      </c>
      <c r="J23" s="72" t="s">
        <v>191</v>
      </c>
      <c r="K23" s="72" t="s">
        <v>192</v>
      </c>
      <c r="L23" s="72">
        <v>12.5</v>
      </c>
      <c r="M23" s="72">
        <v>12.5</v>
      </c>
      <c r="N23" s="72">
        <v>12.5</v>
      </c>
      <c r="O23" s="72">
        <v>12.5</v>
      </c>
      <c r="P23" s="72">
        <v>12.5</v>
      </c>
      <c r="Q23" s="72">
        <v>12.5</v>
      </c>
      <c r="R23" s="72">
        <v>12.5</v>
      </c>
      <c r="S23" s="72">
        <v>12.5</v>
      </c>
      <c r="T23" s="72">
        <v>12.5</v>
      </c>
      <c r="U23" s="72" t="s">
        <v>194</v>
      </c>
      <c r="V23" s="32"/>
    </row>
    <row r="24" ht="157.5" customHeight="1">
      <c r="A24" s="125" t="s">
        <v>195</v>
      </c>
      <c r="B24" s="72" t="s">
        <v>72</v>
      </c>
      <c r="C24" s="121" t="s">
        <v>197</v>
      </c>
      <c r="D24" s="72" t="s">
        <v>126</v>
      </c>
      <c r="E24" s="69">
        <f t="shared" si="2"/>
        <v>0.05882352941</v>
      </c>
      <c r="F24" s="72" t="s">
        <v>118</v>
      </c>
      <c r="G24" s="102" t="s">
        <v>199</v>
      </c>
      <c r="H24" s="126" t="s">
        <v>200</v>
      </c>
      <c r="I24" s="127" t="s">
        <v>201</v>
      </c>
      <c r="J24" s="72" t="s">
        <v>203</v>
      </c>
      <c r="K24" s="72" t="s">
        <v>204</v>
      </c>
      <c r="L24" s="128">
        <v>2.0</v>
      </c>
      <c r="M24" s="129">
        <v>2.0</v>
      </c>
      <c r="N24" s="129">
        <v>1.0</v>
      </c>
      <c r="O24" s="129">
        <v>1.0</v>
      </c>
      <c r="P24" s="129">
        <v>1.0</v>
      </c>
      <c r="Q24" s="129">
        <v>1.0</v>
      </c>
      <c r="R24" s="129">
        <v>1.0</v>
      </c>
      <c r="S24" s="129">
        <v>1.0</v>
      </c>
      <c r="T24" s="129">
        <v>1.0</v>
      </c>
      <c r="U24" s="72" t="s">
        <v>205</v>
      </c>
      <c r="V24" s="32"/>
    </row>
    <row r="25">
      <c r="A25" s="125" t="s">
        <v>206</v>
      </c>
      <c r="B25" s="72" t="s">
        <v>110</v>
      </c>
      <c r="C25" s="121" t="s">
        <v>208</v>
      </c>
      <c r="D25" s="72" t="s">
        <v>131</v>
      </c>
      <c r="E25" s="69">
        <f t="shared" si="2"/>
        <v>0.05882352941</v>
      </c>
      <c r="F25" s="72" t="s">
        <v>118</v>
      </c>
      <c r="G25" s="102" t="s">
        <v>209</v>
      </c>
      <c r="H25" s="72" t="s">
        <v>210</v>
      </c>
      <c r="I25" s="121" t="s">
        <v>211</v>
      </c>
      <c r="J25" s="104" t="s">
        <v>212</v>
      </c>
      <c r="K25" s="95">
        <v>0.35</v>
      </c>
      <c r="L25" s="95">
        <v>0.35</v>
      </c>
      <c r="M25" s="95">
        <v>0.4</v>
      </c>
      <c r="N25" s="108">
        <v>0.4</v>
      </c>
      <c r="O25" s="108">
        <v>0.45</v>
      </c>
      <c r="P25" s="108">
        <v>0.45</v>
      </c>
      <c r="Q25" s="108">
        <v>0.45</v>
      </c>
      <c r="R25" s="108">
        <v>0.45</v>
      </c>
      <c r="S25" s="108">
        <v>0.45</v>
      </c>
      <c r="T25" s="108">
        <v>0.45</v>
      </c>
      <c r="U25" s="104" t="s">
        <v>213</v>
      </c>
      <c r="V25" s="32"/>
    </row>
    <row r="26" ht="78.0" customHeight="1">
      <c r="A26" s="124" t="s">
        <v>215</v>
      </c>
      <c r="B26" s="131" t="s">
        <v>72</v>
      </c>
      <c r="C26" s="112" t="s">
        <v>216</v>
      </c>
      <c r="D26" s="72" t="s">
        <v>217</v>
      </c>
      <c r="E26" s="69">
        <f t="shared" si="2"/>
        <v>0.05882352941</v>
      </c>
      <c r="F26" s="105" t="s">
        <v>118</v>
      </c>
      <c r="G26" s="102" t="s">
        <v>218</v>
      </c>
      <c r="H26" s="132" t="s">
        <v>219</v>
      </c>
      <c r="I26" s="121" t="s">
        <v>220</v>
      </c>
      <c r="J26" s="116" t="s">
        <v>221</v>
      </c>
      <c r="K26" s="72">
        <v>0.0</v>
      </c>
      <c r="L26" s="72">
        <v>0.0</v>
      </c>
      <c r="M26" s="72">
        <v>0.0</v>
      </c>
      <c r="N26" s="72">
        <v>0.0</v>
      </c>
      <c r="O26" s="72">
        <v>0.0</v>
      </c>
      <c r="P26" s="72">
        <v>1.0</v>
      </c>
      <c r="Q26" s="72">
        <v>0.0</v>
      </c>
      <c r="R26" s="72">
        <v>0.0</v>
      </c>
      <c r="S26" s="72">
        <v>0.0</v>
      </c>
      <c r="T26" s="72">
        <v>1.0</v>
      </c>
      <c r="U26" s="105" t="s">
        <v>222</v>
      </c>
      <c r="V26" s="32"/>
    </row>
    <row r="27" ht="73.5" customHeight="1">
      <c r="A27" s="97"/>
      <c r="B27" s="94"/>
      <c r="C27" s="91"/>
      <c r="D27" s="72" t="s">
        <v>223</v>
      </c>
      <c r="E27" s="69">
        <f t="shared" si="2"/>
        <v>0.05882352941</v>
      </c>
      <c r="F27" s="91"/>
      <c r="G27" s="102" t="s">
        <v>224</v>
      </c>
      <c r="H27" s="134" t="s">
        <v>225</v>
      </c>
      <c r="I27" s="121" t="s">
        <v>227</v>
      </c>
      <c r="J27" s="116" t="s">
        <v>149</v>
      </c>
      <c r="K27" s="72">
        <v>0.0</v>
      </c>
      <c r="L27" s="135">
        <v>0.28</v>
      </c>
      <c r="M27" s="136">
        <v>0.4</v>
      </c>
      <c r="N27" s="136">
        <v>0.53</v>
      </c>
      <c r="O27" s="136">
        <v>0.65</v>
      </c>
      <c r="P27" s="136">
        <v>0.84</v>
      </c>
      <c r="Q27" s="136">
        <f>P27+ 16.39%</f>
        <v>1.0039</v>
      </c>
      <c r="R27" s="136">
        <v>1.0</v>
      </c>
      <c r="S27" s="136">
        <v>1.0</v>
      </c>
      <c r="T27" s="136">
        <f>Q27</f>
        <v>1.0039</v>
      </c>
      <c r="U27" s="97"/>
      <c r="V27" s="32"/>
    </row>
    <row r="28">
      <c r="A28" s="125" t="s">
        <v>228</v>
      </c>
      <c r="B28" s="72" t="s">
        <v>110</v>
      </c>
      <c r="C28" s="121" t="s">
        <v>229</v>
      </c>
      <c r="D28" s="72" t="s">
        <v>131</v>
      </c>
      <c r="E28" s="69">
        <f t="shared" si="2"/>
        <v>0.05882352941</v>
      </c>
      <c r="F28" s="72" t="s">
        <v>135</v>
      </c>
      <c r="G28" s="102" t="s">
        <v>230</v>
      </c>
      <c r="H28" s="72" t="s">
        <v>231</v>
      </c>
      <c r="I28" s="121" t="s">
        <v>232</v>
      </c>
      <c r="J28" s="137" t="s">
        <v>212</v>
      </c>
      <c r="K28" s="95">
        <v>0.6</v>
      </c>
      <c r="L28" s="95">
        <v>0.6</v>
      </c>
      <c r="M28" s="95">
        <v>0.7</v>
      </c>
      <c r="N28" s="95">
        <v>0.8</v>
      </c>
      <c r="O28" s="95">
        <v>0.8</v>
      </c>
      <c r="P28" s="95">
        <v>0.8</v>
      </c>
      <c r="Q28" s="95">
        <v>0.8</v>
      </c>
      <c r="R28" s="95">
        <v>0.8</v>
      </c>
      <c r="S28" s="95">
        <v>0.8</v>
      </c>
      <c r="T28" s="95">
        <v>0.8</v>
      </c>
      <c r="U28" s="72" t="s">
        <v>233</v>
      </c>
      <c r="V28" s="32"/>
    </row>
    <row r="29" ht="6.75" customHeight="1">
      <c r="A29" s="138"/>
      <c r="B29" s="139"/>
      <c r="C29" s="140"/>
      <c r="D29" s="141"/>
      <c r="E29" s="142"/>
      <c r="F29" s="141"/>
      <c r="G29" s="143"/>
      <c r="H29" s="104"/>
      <c r="I29" s="144"/>
      <c r="J29" s="141"/>
      <c r="K29" s="145"/>
      <c r="L29" s="145"/>
      <c r="M29" s="141"/>
      <c r="N29" s="141"/>
      <c r="O29" s="141"/>
      <c r="P29" s="146"/>
      <c r="Q29" s="146"/>
      <c r="R29" s="146"/>
      <c r="S29" s="146"/>
      <c r="T29" s="146"/>
      <c r="U29" s="147"/>
      <c r="V29" s="32"/>
    </row>
    <row r="30" ht="1.5" customHeight="1">
      <c r="A30" s="148"/>
      <c r="B30" s="149"/>
      <c r="C30" s="149"/>
      <c r="D30" s="149"/>
      <c r="E30" s="149"/>
      <c r="F30" s="149"/>
      <c r="G30" s="149"/>
      <c r="H30" s="149"/>
      <c r="I30" s="149"/>
      <c r="J30" s="149"/>
      <c r="K30" s="149"/>
      <c r="L30" s="149"/>
      <c r="M30" s="149"/>
      <c r="N30" s="149"/>
      <c r="O30" s="149"/>
      <c r="P30" s="149"/>
      <c r="Q30" s="149"/>
      <c r="R30" s="149"/>
      <c r="S30" s="149"/>
      <c r="T30" s="149"/>
      <c r="U30" s="149"/>
      <c r="V30" s="32"/>
    </row>
    <row r="31" ht="28.5" customHeight="1">
      <c r="A31" s="150" t="s">
        <v>234</v>
      </c>
      <c r="B31" s="151" t="s">
        <v>235</v>
      </c>
      <c r="C31" s="152"/>
      <c r="D31" s="150" t="s">
        <v>236</v>
      </c>
      <c r="E31" s="153" t="s">
        <v>237</v>
      </c>
      <c r="F31" s="149"/>
      <c r="G31" s="152"/>
      <c r="H31" s="154" t="s">
        <v>236</v>
      </c>
      <c r="I31" s="155" t="s">
        <v>238</v>
      </c>
      <c r="J31" s="154" t="s">
        <v>236</v>
      </c>
      <c r="K31" s="156" t="s">
        <v>239</v>
      </c>
      <c r="L31" s="157"/>
      <c r="M31" s="157"/>
      <c r="N31" s="157"/>
      <c r="O31" s="157"/>
      <c r="P31" s="157"/>
      <c r="Q31" s="157"/>
      <c r="R31" s="157"/>
      <c r="S31" s="157"/>
      <c r="T31" s="157"/>
      <c r="U31" s="158"/>
      <c r="V31" s="32"/>
    </row>
    <row r="32" ht="30.0" customHeight="1">
      <c r="A32" s="159" t="s">
        <v>240</v>
      </c>
      <c r="B32" s="160"/>
      <c r="C32" s="161"/>
      <c r="D32" s="159" t="s">
        <v>240</v>
      </c>
      <c r="E32" s="162"/>
      <c r="G32" s="161"/>
      <c r="H32" s="163" t="s">
        <v>240</v>
      </c>
      <c r="I32" s="164"/>
      <c r="J32" s="165" t="s">
        <v>240</v>
      </c>
      <c r="K32" s="166" t="str">
        <f>IF(C6="Institucional","Consejo Superior",IF(C6="De programa","Consejo de Facultad",""))</f>
        <v/>
      </c>
      <c r="U32" s="161"/>
      <c r="V32" s="32"/>
    </row>
    <row r="33" ht="15.75" customHeight="1">
      <c r="A33" s="159" t="s">
        <v>245</v>
      </c>
      <c r="B33" s="167" t="s">
        <v>44</v>
      </c>
      <c r="C33" s="161"/>
      <c r="D33" s="159" t="s">
        <v>245</v>
      </c>
      <c r="E33" s="168" t="s">
        <v>44</v>
      </c>
      <c r="G33" s="161"/>
      <c r="H33" s="163" t="s">
        <v>245</v>
      </c>
      <c r="I33" s="169" t="s">
        <v>246</v>
      </c>
      <c r="J33" s="170" t="s">
        <v>245</v>
      </c>
      <c r="K33" s="171" t="s">
        <v>247</v>
      </c>
      <c r="U33" s="161"/>
      <c r="V33" s="32"/>
    </row>
    <row r="34" ht="15.75" customHeight="1">
      <c r="A34" s="159" t="s">
        <v>248</v>
      </c>
      <c r="B34" s="167" t="s">
        <v>249</v>
      </c>
      <c r="C34" s="161"/>
      <c r="D34" s="159" t="s">
        <v>248</v>
      </c>
      <c r="E34" s="168" t="s">
        <v>249</v>
      </c>
      <c r="G34" s="161"/>
      <c r="H34" s="163" t="s">
        <v>248</v>
      </c>
      <c r="I34" s="169" t="s">
        <v>250</v>
      </c>
      <c r="J34" s="170" t="s">
        <v>248</v>
      </c>
      <c r="K34" s="171" t="s">
        <v>251</v>
      </c>
      <c r="U34" s="161"/>
      <c r="V34" s="32"/>
    </row>
    <row r="35" ht="15.75" customHeight="1">
      <c r="A35" s="159" t="s">
        <v>252</v>
      </c>
      <c r="B35" s="167" t="s">
        <v>253</v>
      </c>
      <c r="C35" s="161"/>
      <c r="D35" s="159" t="s">
        <v>252</v>
      </c>
      <c r="E35" s="168" t="s">
        <v>253</v>
      </c>
      <c r="G35" s="161"/>
      <c r="H35" s="163" t="s">
        <v>252</v>
      </c>
      <c r="I35" s="169" t="s">
        <v>254</v>
      </c>
      <c r="J35" s="170" t="s">
        <v>252</v>
      </c>
      <c r="K35" s="171" t="s">
        <v>255</v>
      </c>
      <c r="U35" s="161"/>
      <c r="V35" s="32"/>
    </row>
    <row r="36" ht="15.75" customHeight="1">
      <c r="A36" s="172" t="s">
        <v>256</v>
      </c>
      <c r="B36" s="173" t="s">
        <v>38</v>
      </c>
      <c r="C36" s="31"/>
      <c r="D36" s="172" t="s">
        <v>256</v>
      </c>
      <c r="E36" s="174" t="s">
        <v>38</v>
      </c>
      <c r="F36" s="175"/>
      <c r="G36" s="31"/>
      <c r="H36" s="176" t="s">
        <v>256</v>
      </c>
      <c r="I36" s="177" t="s">
        <v>257</v>
      </c>
      <c r="J36" s="178" t="s">
        <v>256</v>
      </c>
      <c r="K36" s="179" t="s">
        <v>258</v>
      </c>
      <c r="L36" s="175"/>
      <c r="M36" s="175"/>
      <c r="N36" s="175"/>
      <c r="O36" s="175"/>
      <c r="P36" s="175"/>
      <c r="Q36" s="175"/>
      <c r="R36" s="175"/>
      <c r="S36" s="175"/>
      <c r="T36" s="175"/>
      <c r="U36" s="31"/>
      <c r="V36" s="32"/>
    </row>
    <row r="37" ht="1.5" customHeight="1">
      <c r="A37" s="180"/>
      <c r="B37" s="180"/>
      <c r="C37" s="180"/>
      <c r="D37" s="180"/>
      <c r="E37" s="180"/>
      <c r="F37" s="180"/>
      <c r="G37" s="180"/>
      <c r="H37" s="180"/>
      <c r="I37" s="181"/>
      <c r="J37" s="180"/>
      <c r="K37" s="180"/>
      <c r="L37" s="180"/>
      <c r="M37" s="180"/>
      <c r="N37" s="180"/>
      <c r="O37" s="180"/>
      <c r="P37" s="180"/>
      <c r="Q37" s="180"/>
      <c r="R37" s="180"/>
      <c r="S37" s="180"/>
      <c r="T37" s="180"/>
      <c r="U37" s="180"/>
      <c r="V37" s="32"/>
    </row>
    <row r="38" ht="84.0" customHeight="1">
      <c r="A38" s="182" t="s">
        <v>259</v>
      </c>
      <c r="B38" s="4"/>
      <c r="C38" s="6"/>
      <c r="D38" s="182" t="s">
        <v>260</v>
      </c>
      <c r="E38" s="4"/>
      <c r="F38" s="4"/>
      <c r="G38" s="6"/>
      <c r="H38" s="183"/>
      <c r="J38" s="180"/>
      <c r="K38" s="183"/>
      <c r="L38" s="183"/>
      <c r="M38" s="183"/>
      <c r="N38" s="183"/>
      <c r="O38" s="183"/>
      <c r="P38" s="183"/>
      <c r="Q38" s="183"/>
      <c r="R38" s="183"/>
      <c r="S38" s="183"/>
      <c r="T38" s="183"/>
      <c r="U38" s="183"/>
      <c r="V38" s="32"/>
    </row>
    <row r="39" ht="15.75" customHeight="1">
      <c r="E39" s="184"/>
      <c r="I39" s="185"/>
      <c r="J39" s="186"/>
    </row>
  </sheetData>
  <mergeCells count="80">
    <mergeCell ref="F8:F9"/>
    <mergeCell ref="G8:G9"/>
    <mergeCell ref="A11:A13"/>
    <mergeCell ref="B11:B13"/>
    <mergeCell ref="E11:E13"/>
    <mergeCell ref="F11:F13"/>
    <mergeCell ref="G11:G13"/>
    <mergeCell ref="F15:F16"/>
    <mergeCell ref="F18:F19"/>
    <mergeCell ref="F26:F27"/>
    <mergeCell ref="A22:A23"/>
    <mergeCell ref="A26:A27"/>
    <mergeCell ref="B26:B27"/>
    <mergeCell ref="C26:C27"/>
    <mergeCell ref="D11:D13"/>
    <mergeCell ref="C12:C13"/>
    <mergeCell ref="A14:A17"/>
    <mergeCell ref="B15:B16"/>
    <mergeCell ref="C15:C16"/>
    <mergeCell ref="A18:A21"/>
    <mergeCell ref="D18:D19"/>
    <mergeCell ref="K31:U31"/>
    <mergeCell ref="K32:U32"/>
    <mergeCell ref="B18:B19"/>
    <mergeCell ref="C18:C19"/>
    <mergeCell ref="A30:U30"/>
    <mergeCell ref="B31:C31"/>
    <mergeCell ref="E31:G31"/>
    <mergeCell ref="B32:C32"/>
    <mergeCell ref="B33:C33"/>
    <mergeCell ref="K33:U33"/>
    <mergeCell ref="A1:A3"/>
    <mergeCell ref="B1:U1"/>
    <mergeCell ref="B2:U2"/>
    <mergeCell ref="B3:G3"/>
    <mergeCell ref="H3:I3"/>
    <mergeCell ref="J3:T3"/>
    <mergeCell ref="A4:U4"/>
    <mergeCell ref="B5:C5"/>
    <mergeCell ref="E5:G5"/>
    <mergeCell ref="J5:K5"/>
    <mergeCell ref="L5:U5"/>
    <mergeCell ref="B6:C6"/>
    <mergeCell ref="E6:G6"/>
    <mergeCell ref="J6:K6"/>
    <mergeCell ref="H8:H9"/>
    <mergeCell ref="I8:I9"/>
    <mergeCell ref="I11:I13"/>
    <mergeCell ref="I15:I16"/>
    <mergeCell ref="I18:I19"/>
    <mergeCell ref="J18:J19"/>
    <mergeCell ref="J8:J9"/>
    <mergeCell ref="K8:K9"/>
    <mergeCell ref="L8:T8"/>
    <mergeCell ref="U8:U9"/>
    <mergeCell ref="U11:U13"/>
    <mergeCell ref="U15:U16"/>
    <mergeCell ref="U18:U19"/>
    <mergeCell ref="U26:U27"/>
    <mergeCell ref="L6:U6"/>
    <mergeCell ref="A7:U7"/>
    <mergeCell ref="A8:A9"/>
    <mergeCell ref="B8:B9"/>
    <mergeCell ref="C8:C9"/>
    <mergeCell ref="D8:D9"/>
    <mergeCell ref="E8:E9"/>
    <mergeCell ref="B35:C35"/>
    <mergeCell ref="B36:C36"/>
    <mergeCell ref="E36:G36"/>
    <mergeCell ref="A38:C38"/>
    <mergeCell ref="D38:G38"/>
    <mergeCell ref="H38:I38"/>
    <mergeCell ref="E32:G32"/>
    <mergeCell ref="E33:G33"/>
    <mergeCell ref="B34:C34"/>
    <mergeCell ref="E34:G34"/>
    <mergeCell ref="K34:U34"/>
    <mergeCell ref="E35:G35"/>
    <mergeCell ref="K35:U35"/>
    <mergeCell ref="K36:U36"/>
  </mergeCells>
  <conditionalFormatting sqref="E5:E6">
    <cfRule type="expression" dxfId="0" priority="1">
      <formula>AND($B$5="De programa",E5="")</formula>
    </cfRule>
  </conditionalFormatting>
  <conditionalFormatting sqref="L5:U5">
    <cfRule type="containsBlanks" dxfId="0" priority="2">
      <formula>LEN(TRIM(L5))=0</formula>
    </cfRule>
  </conditionalFormatting>
  <conditionalFormatting sqref="B6:C6">
    <cfRule type="expression" dxfId="0" priority="3">
      <formula>AND(B5="De programa",B6="")</formula>
    </cfRule>
  </conditionalFormatting>
  <conditionalFormatting sqref="B5:C5">
    <cfRule type="containsBlanks" dxfId="0" priority="4">
      <formula>LEN(TRIM(B5))=0</formula>
    </cfRule>
  </conditionalFormatting>
  <conditionalFormatting sqref="I6">
    <cfRule type="containsBlanks" dxfId="0" priority="5">
      <formula>LEN(TRIM(I6))=0</formula>
    </cfRule>
  </conditionalFormatting>
  <conditionalFormatting sqref="A10:A29">
    <cfRule type="expression" dxfId="0" priority="6">
      <formula>#REF!=""</formula>
    </cfRule>
  </conditionalFormatting>
  <conditionalFormatting sqref="B10:B29">
    <cfRule type="expression" dxfId="0" priority="7">
      <formula>#REF!=""</formula>
    </cfRule>
  </conditionalFormatting>
  <conditionalFormatting sqref="C10:C26 C28:C29 D10:F29 H28:I29 J10:U29">
    <cfRule type="expression" dxfId="0" priority="8">
      <formula>#REF!=""</formula>
    </cfRule>
  </conditionalFormatting>
  <conditionalFormatting sqref="E15 G10:G25 G28:G29">
    <cfRule type="expression" dxfId="0" priority="9">
      <formula>#REF!=""</formula>
    </cfRule>
  </conditionalFormatting>
  <conditionalFormatting sqref="H10:H25 H28 I17">
    <cfRule type="expression" dxfId="0" priority="10">
      <formula>#REF!=""</formula>
    </cfRule>
  </conditionalFormatting>
  <conditionalFormatting sqref="I10:I25 I28">
    <cfRule type="expression" dxfId="0" priority="11">
      <formula>#REF!=""</formula>
    </cfRule>
  </conditionalFormatting>
  <conditionalFormatting sqref="P12:T17 P21:T21">
    <cfRule type="expression" dxfId="0" priority="12">
      <formula>#REF!=""</formula>
    </cfRule>
  </conditionalFormatting>
  <dataValidations>
    <dataValidation type="list" allowBlank="1" showErrorMessage="1" sqref="E6">
      <formula1>Listas!$C$4:$C$9</formula1>
    </dataValidation>
    <dataValidation type="list" allowBlank="1" sqref="D10:D11 D14:D18 D20:D29">
      <formula1>Listas!$X$4:$X$19</formula1>
    </dataValidation>
    <dataValidation type="list" allowBlank="1" sqref="B5">
      <formula1>Listas!$A$4:$A$20</formula1>
    </dataValidation>
    <dataValidation type="list" allowBlank="1" sqref="E5">
      <formula1>Listas!$T$4:$T$20</formula1>
    </dataValidation>
    <dataValidation type="list" allowBlank="1" showErrorMessage="1" sqref="B6">
      <formula1>Listas!$B$4:$B$9</formula1>
    </dataValidation>
    <dataValidation type="list" allowBlank="1" sqref="B10:B11 B14:B15 B17:B18 B20:B26 B28:B29">
      <formula1>"Proceso de autoevaluación,Determinación del CNA"</formula1>
    </dataValidation>
    <dataValidation type="list" allowBlank="1" showInputMessage="1" showErrorMessage="1" prompt="Por favor seleccione una opción permitida" sqref="F10:F11 F14:F15 F17:F18 F20:F26 F28:F29">
      <formula1>Listas!$U$4:$U$9</formula1>
    </dataValidation>
  </dataValidations>
  <printOptions gridLines="1" horizontalCentered="1"/>
  <pageMargins bottom="0.75" footer="0.0" header="0.0" left="0.7" right="0.7" top="0.75"/>
  <pageSetup fitToHeight="0" cellComments="atEnd" orientation="landscape"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0"/>
  <cols>
    <col customWidth="1" min="1" max="1" width="26.75"/>
    <col customWidth="1" min="2" max="2" width="34.25"/>
    <col customWidth="1" min="3" max="3" width="12.75"/>
    <col customWidth="1" min="4" max="4" width="40.63"/>
    <col customWidth="1" min="5" max="5" width="15.5"/>
    <col customWidth="1" min="6" max="6" width="24.88"/>
    <col customWidth="1" min="7" max="7" width="21.75"/>
    <col customWidth="1" min="8" max="8" width="1.13"/>
  </cols>
  <sheetData>
    <row r="1" ht="15.75" customHeight="1">
      <c r="A1" s="2"/>
      <c r="B1" s="3" t="s">
        <v>0</v>
      </c>
      <c r="C1" s="4"/>
      <c r="D1" s="4"/>
      <c r="E1" s="4"/>
      <c r="F1" s="4"/>
      <c r="G1" s="6"/>
      <c r="H1" s="7"/>
    </row>
    <row r="2" ht="15.75" customHeight="1">
      <c r="A2" s="8"/>
      <c r="B2" s="9" t="s">
        <v>1</v>
      </c>
      <c r="C2" s="4"/>
      <c r="D2" s="4"/>
      <c r="E2" s="4"/>
      <c r="F2" s="4"/>
      <c r="G2" s="6"/>
      <c r="H2" s="10"/>
    </row>
    <row r="3" ht="15.75" customHeight="1">
      <c r="A3" s="11"/>
      <c r="B3" s="12" t="s">
        <v>3</v>
      </c>
      <c r="C3" s="6"/>
      <c r="D3" s="13" t="s">
        <v>6</v>
      </c>
      <c r="E3" s="16" t="s">
        <v>8</v>
      </c>
      <c r="F3" s="6"/>
      <c r="G3" s="13" t="s">
        <v>9</v>
      </c>
      <c r="H3" s="10"/>
    </row>
    <row r="4" ht="2.25" customHeight="1">
      <c r="A4" s="5"/>
      <c r="B4" s="5"/>
      <c r="F4" s="5"/>
      <c r="G4" s="5"/>
      <c r="H4" s="5"/>
    </row>
    <row r="5">
      <c r="A5" s="18" t="s">
        <v>12</v>
      </c>
      <c r="B5" s="22" t="str">
        <f>IF('Plan mejoramiento'!B5="","",'Plan mejoramiento'!B5)</f>
        <v>De programa</v>
      </c>
      <c r="C5" s="6"/>
      <c r="D5" s="25" t="str">
        <f>IF('Plan mejoramiento'!E5="","",CONCATENATE('Plan mejoramiento'!D5," ",'Plan mejoramiento'!E5))</f>
        <v>Programa: Ingeniería Electrónica</v>
      </c>
      <c r="E5" s="26"/>
      <c r="F5" s="27"/>
      <c r="H5" s="1"/>
    </row>
    <row r="6">
      <c r="A6" s="18" t="str">
        <f>'Plan mejoramiento'!A6</f>
        <v>Facultad:</v>
      </c>
      <c r="B6" s="30" t="str">
        <f>'Plan mejoramiento'!B6</f>
        <v>Facultad de Ciencias Básicas e Ingeniería</v>
      </c>
      <c r="C6" s="31"/>
      <c r="D6" s="25" t="str">
        <f>IF('Plan mejoramiento'!J6="","",CONCATENATE('Plan mejoramiento'!J6," ",#REF!))</f>
        <v>#REF!</v>
      </c>
      <c r="E6" s="26"/>
      <c r="F6" s="27"/>
      <c r="H6" s="1"/>
    </row>
    <row r="7" ht="2.25" customHeight="1">
      <c r="A7" s="1"/>
      <c r="B7" s="1"/>
      <c r="F7" s="1"/>
      <c r="G7" s="1"/>
      <c r="H7" s="1"/>
    </row>
    <row r="8">
      <c r="A8" s="35" t="str">
        <f>'Plan mejoramiento'!C8</f>
        <v>Descripción de la oportunidad de mejora</v>
      </c>
      <c r="B8" s="35" t="str">
        <f>'Plan mejoramiento'!G8</f>
        <v>Meta de la oportunidad de mejora</v>
      </c>
      <c r="C8" s="36" t="s">
        <v>33</v>
      </c>
      <c r="D8" s="38" t="s">
        <v>34</v>
      </c>
      <c r="E8" s="4"/>
      <c r="F8" s="40" t="s">
        <v>35</v>
      </c>
      <c r="G8" s="6"/>
      <c r="H8" s="1"/>
    </row>
    <row r="9" ht="35.25" customHeight="1">
      <c r="A9" s="11"/>
      <c r="B9" s="11"/>
      <c r="C9" s="8"/>
      <c r="D9" s="42" t="s">
        <v>39</v>
      </c>
      <c r="E9" s="43" t="s">
        <v>40</v>
      </c>
      <c r="F9" s="44" t="s">
        <v>42</v>
      </c>
      <c r="G9" s="44" t="s">
        <v>43</v>
      </c>
      <c r="H9" s="1"/>
    </row>
    <row r="10" ht="88.5" customHeight="1">
      <c r="A10" s="34" t="str">
        <f>'Plan mejoramiento'!C10</f>
        <v>Continuar con estrategias para lograr que los resultados de la prueba Saber Pro sean mayores en todas las competencias ai promedio obtenido por los estudiantes
del grupo de referencia NBC.
</v>
      </c>
      <c r="B10" s="34" t="str">
        <f>'Plan mejoramiento'!G10</f>
        <v>Meta 1.
Mantener cinco (5) puntos por encima de los resultados de la prueba Saber Pro del grupo de referencia </v>
      </c>
      <c r="C10" s="45">
        <v>1.0</v>
      </c>
      <c r="D10" s="47" t="s">
        <v>47</v>
      </c>
      <c r="E10" s="55" t="s">
        <v>48</v>
      </c>
      <c r="F10" s="51"/>
      <c r="G10" s="51"/>
      <c r="H10" s="32"/>
    </row>
    <row r="11" ht="89.25" customHeight="1">
      <c r="A11" s="34" t="str">
        <f>'Plan mejoramiento'!C11</f>
        <v>Mantener la participación en las actividades de Bienestar de un porcentaje significativo de estudiantes del Programa en cada periodo, dada la importancia declarada por la institución, en el desarrollo integral y en la permanencia.</v>
      </c>
      <c r="B11" s="53" t="str">
        <f>'Plan mejoramiento'!G11</f>
        <v>Meta 2a.2b, 2c
Incrementar al 60% la participación de la comunidad del programa en actividades de bienestar institucional </v>
      </c>
      <c r="C11" s="63"/>
      <c r="D11" s="56" t="s">
        <v>71</v>
      </c>
      <c r="E11" s="68" t="s">
        <v>48</v>
      </c>
      <c r="F11" s="60"/>
      <c r="G11" s="60"/>
      <c r="H11" s="32"/>
    </row>
    <row r="12" ht="34.5" customHeight="1">
      <c r="A12" s="53" t="str">
        <f>'Plan mejoramiento'!C12</f>
        <v>Bajo porcentaje de profesores y administrativos en actividades de Bienestar</v>
      </c>
      <c r="B12" s="8"/>
      <c r="C12" s="8"/>
      <c r="D12" s="8"/>
      <c r="E12" s="8"/>
      <c r="F12" s="8"/>
      <c r="G12" s="8"/>
      <c r="H12" s="32"/>
    </row>
    <row r="13" ht="24.0" customHeight="1">
      <c r="A13" s="11"/>
      <c r="B13" s="11"/>
      <c r="C13" s="11"/>
      <c r="D13" s="11"/>
      <c r="E13" s="11"/>
      <c r="F13" s="11"/>
      <c r="G13" s="11"/>
      <c r="H13" s="32"/>
    </row>
    <row r="14">
      <c r="A14" s="34" t="str">
        <f>'Plan mejoramiento'!C14</f>
        <v>El número de profesores no es suficiente para las necesidades del programa en relación con el número de estudiantes.</v>
      </c>
      <c r="B14" s="34" t="str">
        <f>'Plan mejoramiento'!G14</f>
        <v>Meta 3.
Desarrollar una (1) convocatoria de planta docente </v>
      </c>
      <c r="C14" s="79"/>
      <c r="D14" s="47" t="s">
        <v>94</v>
      </c>
      <c r="E14" s="90" t="s">
        <v>48</v>
      </c>
      <c r="F14" s="51"/>
      <c r="G14" s="51"/>
      <c r="H14" s="32"/>
    </row>
    <row r="15">
      <c r="A15" s="53" t="str">
        <f>'Plan mejoramiento'!C15</f>
        <v>Los tiempos de dedicación a las funciones misionales no cumplen con lo establecido en los indicadores del programa.</v>
      </c>
      <c r="B15" s="34" t="str">
        <f>'Plan mejoramiento'!G15</f>
        <v>Meta 4.
Incrementar al 25% la asignación de tiempos de los docentes TC a la investigación</v>
      </c>
      <c r="C15" s="45">
        <v>0.71</v>
      </c>
      <c r="D15" s="47" t="s">
        <v>104</v>
      </c>
      <c r="E15" s="55" t="s">
        <v>48</v>
      </c>
      <c r="F15" s="51"/>
      <c r="G15" s="51"/>
      <c r="H15" s="32"/>
    </row>
    <row r="16">
      <c r="A16" s="11"/>
      <c r="B16" s="34" t="str">
        <f>'Plan mejoramiento'!G16</f>
        <v>Meta 5.
Incrementar al 20% la asignación de tiempos de los docentes TC a la Proyección Social</v>
      </c>
      <c r="C16" s="45">
        <v>0.1</v>
      </c>
      <c r="D16" s="47" t="s">
        <v>108</v>
      </c>
      <c r="E16" s="55" t="s">
        <v>48</v>
      </c>
      <c r="F16" s="51"/>
      <c r="G16" s="51"/>
      <c r="H16" s="32"/>
    </row>
    <row r="17">
      <c r="A17" s="34" t="str">
        <f>'Plan mejoramiento'!C17</f>
        <v>Continuar con estrategias para aumentar el material de apoyo docente, su aplicación, y difusión.</v>
      </c>
      <c r="B17" s="34" t="str">
        <f>'Plan mejoramiento'!G17</f>
        <v>Meta 6.
Desarrollar una (1) estrategia anual para fomentar la productividad y el material de apoyo docente</v>
      </c>
      <c r="C17" s="45">
        <v>0.0</v>
      </c>
      <c r="D17" s="47" t="s">
        <v>115</v>
      </c>
      <c r="E17" s="90" t="s">
        <v>48</v>
      </c>
      <c r="F17" s="51"/>
      <c r="G17" s="51"/>
      <c r="H17" s="32"/>
    </row>
    <row r="18">
      <c r="A18" s="53" t="str">
        <f>'Plan mejoramiento'!C18</f>
        <v>El número de productos derivados de la participación de profesores, estudiantes y directivos del programa en redes u organismos nacionales e internacionales es bajo.</v>
      </c>
      <c r="B18" s="34" t="str">
        <f>'Plan mejoramiento'!G18</f>
        <v>Meta 7.
Incrementar al 30% la participación de los docentes en redes u organismos nacionales e internacionales para generar productos</v>
      </c>
      <c r="C18" s="45">
        <v>0.0</v>
      </c>
      <c r="D18" s="47" t="s">
        <v>124</v>
      </c>
      <c r="E18" s="90" t="s">
        <v>48</v>
      </c>
      <c r="F18" s="51"/>
      <c r="G18" s="51"/>
      <c r="H18" s="32"/>
    </row>
    <row r="19">
      <c r="A19" s="11"/>
      <c r="B19" s="34" t="str">
        <f>'Plan mejoramiento'!G19</f>
        <v>Meta 8.
Desarrollar un (1) producto bienalmente como resultado de la articulación de redes académicas </v>
      </c>
      <c r="C19" s="45">
        <v>0.0</v>
      </c>
      <c r="D19" s="24"/>
      <c r="E19" s="90" t="s">
        <v>48</v>
      </c>
      <c r="F19" s="51"/>
      <c r="G19" s="51"/>
      <c r="H19" s="32"/>
    </row>
    <row r="20">
      <c r="A20" s="34" t="str">
        <f>'Plan mejoramiento'!C20</f>
        <v>Continuar promoviendo la movilidad entrante nacional e internacional y la saliente nacional</v>
      </c>
      <c r="B20" s="34" t="str">
        <f>'Plan mejoramiento'!G20</f>
        <v>Meta 9.
Realizar la movilidad de un (1) estudiante extranjero bienalmente</v>
      </c>
      <c r="C20" s="45">
        <v>1.0</v>
      </c>
      <c r="D20" s="47" t="s">
        <v>90</v>
      </c>
      <c r="E20" s="90" t="s">
        <v>48</v>
      </c>
      <c r="F20" s="51"/>
      <c r="G20" s="51"/>
      <c r="H20" s="32"/>
    </row>
    <row r="21" ht="140.25" customHeight="1">
      <c r="A21" s="34" t="str">
        <f>'Plan mejoramiento'!C21</f>
        <v>Aumentar la movilidad saliente de estudiantes del Programa en distintas modalidades. Aunque el Programa argumenta la reducción en este indicador, en la pandemia y el paro, es posible complementar estos resultados, estableciendo otras actividades en distintas modalidades con efectos en la visibilidad y la cooperación nacional e internacional.</v>
      </c>
      <c r="B21" s="34" t="str">
        <f>'Plan mejoramiento'!G21</f>
        <v>Meta 10.
Lograr que el 20% de estudiantes a partir del V semestre realicen movilidad saliente nacional o internacional anualmente </v>
      </c>
      <c r="C21" s="45">
        <v>0.934</v>
      </c>
      <c r="D21" s="47" t="s">
        <v>145</v>
      </c>
      <c r="E21" s="90" t="s">
        <v>48</v>
      </c>
      <c r="F21" s="51"/>
      <c r="G21" s="51"/>
      <c r="H21" s="32"/>
    </row>
    <row r="22" ht="108.75" customHeight="1">
      <c r="A22" s="34" t="str">
        <f>'Plan mejoramiento'!C22</f>
        <v>Persistir en acciones que permitan de manera efectiva continuar disminuyendo la deserción en el Programa. La tasa de deserción anual para 3 periodos entre 2019 y
2021 es superior al promedio nacional para nivel de formación.</v>
      </c>
      <c r="B22" s="34" t="str">
        <f>'Plan mejoramiento'!G22</f>
        <v>Meta 11.
Mantener un (1) digito la tasa deserción del programa </v>
      </c>
      <c r="C22" s="79"/>
      <c r="D22" s="47" t="s">
        <v>158</v>
      </c>
      <c r="E22" s="90" t="s">
        <v>48</v>
      </c>
      <c r="F22" s="51"/>
      <c r="G22" s="51"/>
      <c r="H22" s="32"/>
    </row>
    <row r="23" ht="148.5" customHeight="1">
      <c r="A23" s="34" t="str">
        <f>'Plan mejoramiento'!C23</f>
        <v>Continuar con la estrategia para lograr la graduación en el tiempo aprobado en el registro calificado. La tasa acumulada de graduación del Programa al semestre 13 es del 23.57% inferior al promedio nacional para el profesional universitario. Aunque es mejor con relación al proceso anterior de acreditación, aún hay una  Oportunidad de mejora significativa en el comparativo nacional con el promedio del nivel de formación.</v>
      </c>
      <c r="B23" s="34" t="str">
        <f>'Plan mejoramiento'!G23</f>
        <v>Meta 12. 
Mantener en 12,5 de semestres para la graduación</v>
      </c>
      <c r="C23" s="79"/>
      <c r="D23" s="47" t="s">
        <v>158</v>
      </c>
      <c r="E23" s="90" t="s">
        <v>48</v>
      </c>
      <c r="F23" s="51"/>
      <c r="G23" s="51"/>
      <c r="H23" s="32"/>
    </row>
    <row r="24" ht="80.25" customHeight="1">
      <c r="A24" s="34" t="str">
        <f>'Plan mejoramiento'!C24</f>
        <v>Continuar con estrategias y apoyos para mejorar la categoría de los grupos de
investigación y el reconocimiento de profesores como investigadores.</v>
      </c>
      <c r="B24" s="34" t="str">
        <f>'Plan mejoramiento'!G24</f>
        <v>Meta 13. 
Lograr que un (1) grupos de investigación suba de categoría</v>
      </c>
      <c r="C24" s="79"/>
      <c r="D24" s="47" t="s">
        <v>176</v>
      </c>
      <c r="E24" s="90" t="s">
        <v>48</v>
      </c>
      <c r="F24" s="51"/>
      <c r="G24" s="51"/>
      <c r="H24" s="32"/>
    </row>
    <row r="25" ht="60.75" customHeight="1">
      <c r="A25" s="34" t="str">
        <f>'Plan mejoramiento'!C25</f>
        <v>
Se requiere incrementar el número de registros de egresados en la base de datos</v>
      </c>
      <c r="B25" s="34" t="str">
        <f>'Plan mejoramiento'!G25</f>
        <v>Meta 14. 
Aumentar al 45% los registros actualizados de los egresados en la base de datos del Programa</v>
      </c>
      <c r="C25" s="79"/>
      <c r="D25" s="47" t="s">
        <v>103</v>
      </c>
      <c r="E25" s="90" t="s">
        <v>48</v>
      </c>
      <c r="F25" s="51"/>
      <c r="G25" s="51"/>
      <c r="H25" s="32"/>
    </row>
    <row r="26" ht="52.5" customHeight="1">
      <c r="A26" s="53" t="str">
        <f>'Plan mejoramiento'!C26</f>
        <v>Continuar robusteciendo la infraestructura de laboratorios y equipos disponibles para el Programa en las distintas líneas de profundización, tanto para la docencia,
coma para la investigación, y cumplir con el plan de mantenimiento y calibración de equipos de laboratorios de manera permanente.</v>
      </c>
      <c r="B26" s="34" t="str">
        <f>'Plan mejoramiento'!G26</f>
        <v>Meta 15. 
Construir un (1) complejo de laboratorios</v>
      </c>
      <c r="C26" s="79"/>
      <c r="D26" s="47" t="s">
        <v>105</v>
      </c>
      <c r="E26" s="90" t="s">
        <v>48</v>
      </c>
      <c r="F26" s="51"/>
      <c r="G26" s="51"/>
      <c r="H26" s="32"/>
    </row>
    <row r="27" ht="66.75" customHeight="1">
      <c r="A27" s="11"/>
      <c r="B27" s="34" t="str">
        <f>'Plan mejoramiento'!G27</f>
        <v>Meta 16. 
Ejecutar el 100% del plan de adquisición de equipos de medios educativos para los laboratorios del Sistema de Gestión de Laboratorios.</v>
      </c>
      <c r="C27" s="79"/>
      <c r="D27" s="47" t="s">
        <v>105</v>
      </c>
      <c r="E27" s="90" t="s">
        <v>48</v>
      </c>
      <c r="F27" s="51"/>
      <c r="G27" s="51"/>
      <c r="H27" s="32"/>
    </row>
    <row r="28" ht="85.5" customHeight="1">
      <c r="A28" s="34" t="str">
        <f>'Plan mejoramiento'!C28</f>
        <v>Se requiere fortalecer el seguimiento de la medición de impacto que evidencie el desarrollo de las funciones misionales</v>
      </c>
      <c r="B28" s="34" t="str">
        <f>'Plan mejoramiento'!G28</f>
        <v>Meta 17. 
Obtener el nivel de cumplimiento mayor o igual al 80% en la medición del impacto</v>
      </c>
      <c r="C28" s="79"/>
      <c r="D28" s="47" t="s">
        <v>109</v>
      </c>
      <c r="E28" s="90" t="s">
        <v>48</v>
      </c>
      <c r="F28" s="51"/>
      <c r="G28" s="51"/>
      <c r="H28" s="32"/>
    </row>
  </sheetData>
  <mergeCells count="26">
    <mergeCell ref="F6:G6"/>
    <mergeCell ref="B7:E7"/>
    <mergeCell ref="D8:E8"/>
    <mergeCell ref="F8:G8"/>
    <mergeCell ref="A1:A3"/>
    <mergeCell ref="B1:G1"/>
    <mergeCell ref="B2:G2"/>
    <mergeCell ref="B3:C3"/>
    <mergeCell ref="E3:F3"/>
    <mergeCell ref="B4:E4"/>
    <mergeCell ref="F5:G5"/>
    <mergeCell ref="D11:D13"/>
    <mergeCell ref="E11:E13"/>
    <mergeCell ref="F11:F13"/>
    <mergeCell ref="G11:G13"/>
    <mergeCell ref="A12:A13"/>
    <mergeCell ref="A15:A16"/>
    <mergeCell ref="A18:A19"/>
    <mergeCell ref="A26:A27"/>
    <mergeCell ref="B5:C5"/>
    <mergeCell ref="B6:C6"/>
    <mergeCell ref="A8:A9"/>
    <mergeCell ref="B8:B9"/>
    <mergeCell ref="C8:C9"/>
    <mergeCell ref="B11:B13"/>
    <mergeCell ref="C11:C13"/>
  </mergeCells>
  <conditionalFormatting sqref="C10:C28">
    <cfRule type="expression" dxfId="0" priority="1">
      <formula>$C$10=""</formula>
    </cfRule>
  </conditionalFormatting>
  <conditionalFormatting sqref="D10:D28">
    <cfRule type="expression" dxfId="0" priority="2">
      <formula>$D$10=""</formula>
    </cfRule>
  </conditionalFormatting>
  <conditionalFormatting sqref="E10:E28">
    <cfRule type="expression" dxfId="0" priority="3">
      <formula>$E$10=""</formula>
    </cfRule>
  </conditionalFormatting>
  <conditionalFormatting sqref="F10:G28">
    <cfRule type="expression" dxfId="1" priority="4">
      <formula>$F$10=""</formula>
    </cfRule>
  </conditionalFormatting>
  <conditionalFormatting sqref="C10:C28">
    <cfRule type="cellIs" dxfId="2" priority="5" operator="greaterThan">
      <formula>1</formula>
    </cfRule>
  </conditionalFormatting>
  <hyperlinks>
    <hyperlink r:id="rId2" ref="E10"/>
    <hyperlink r:id="rId3" ref="E11"/>
    <hyperlink r:id="rId4" ref="E14"/>
    <hyperlink r:id="rId5" ref="E15"/>
    <hyperlink r:id="rId6" ref="E16"/>
    <hyperlink r:id="rId7" ref="E17"/>
    <hyperlink r:id="rId8" ref="E18"/>
    <hyperlink r:id="rId9" ref="E19"/>
    <hyperlink r:id="rId10" ref="E20"/>
    <hyperlink r:id="rId11" ref="E21"/>
    <hyperlink r:id="rId12" ref="E22"/>
    <hyperlink r:id="rId13" ref="E23"/>
    <hyperlink r:id="rId14" ref="E24"/>
    <hyperlink r:id="rId15" ref="E25"/>
    <hyperlink r:id="rId16" ref="E26"/>
    <hyperlink r:id="rId17" ref="E27"/>
    <hyperlink r:id="rId18" ref="E28"/>
  </hyperlinks>
  <printOptions gridLines="1" horizontalCentered="1"/>
  <pageMargins bottom="0.75" footer="0.0" header="0.0" left="0.7" right="0.7" top="0.75"/>
  <pageSetup fitToHeight="0" paperSize="9" cellComments="atEnd" orientation="landscape" pageOrder="overThenDown"/>
  <drawing r:id="rId19"/>
  <legacyDrawing r:id="rId2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0"/>
  <cols>
    <col customWidth="1" min="1" max="1" width="26.75"/>
    <col customWidth="1" min="2" max="2" width="34.25"/>
    <col customWidth="1" min="3" max="3" width="12.75"/>
    <col customWidth="1" min="4" max="4" width="48.63"/>
    <col customWidth="1" min="5" max="5" width="15.5"/>
    <col customWidth="1" min="6" max="6" width="24.88"/>
    <col customWidth="1" min="7" max="7" width="21.75"/>
    <col customWidth="1" min="8" max="8" width="1.13"/>
  </cols>
  <sheetData>
    <row r="1" ht="15.75" customHeight="1">
      <c r="A1" s="2"/>
      <c r="B1" s="3" t="s">
        <v>0</v>
      </c>
      <c r="C1" s="4"/>
      <c r="D1" s="4"/>
      <c r="E1" s="4"/>
      <c r="F1" s="4"/>
      <c r="G1" s="6"/>
      <c r="H1" s="7"/>
    </row>
    <row r="2" ht="15.75" customHeight="1">
      <c r="A2" s="8"/>
      <c r="B2" s="9" t="s">
        <v>1</v>
      </c>
      <c r="C2" s="4"/>
      <c r="D2" s="4"/>
      <c r="E2" s="4"/>
      <c r="F2" s="4"/>
      <c r="G2" s="6"/>
      <c r="H2" s="10"/>
    </row>
    <row r="3" ht="15.75" customHeight="1">
      <c r="A3" s="11"/>
      <c r="B3" s="12" t="s">
        <v>2</v>
      </c>
      <c r="C3" s="6"/>
      <c r="D3" s="13" t="s">
        <v>5</v>
      </c>
      <c r="E3" s="16" t="s">
        <v>7</v>
      </c>
      <c r="F3" s="6"/>
      <c r="G3" s="13" t="s">
        <v>10</v>
      </c>
      <c r="H3" s="10"/>
    </row>
    <row r="4" ht="2.25" customHeight="1">
      <c r="A4" s="5"/>
      <c r="B4" s="5"/>
      <c r="F4" s="5"/>
      <c r="G4" s="5"/>
      <c r="H4" s="5"/>
    </row>
    <row r="5">
      <c r="A5" s="18" t="s">
        <v>12</v>
      </c>
      <c r="B5" s="22" t="str">
        <f>IF('Plan mejoramiento'!B5="","",'Plan mejoramiento'!B5)</f>
        <v>De programa</v>
      </c>
      <c r="C5" s="6"/>
      <c r="D5" s="25" t="str">
        <f>IF('Plan mejoramiento'!E5="","",CONCATENATE('Plan mejoramiento'!D5," ",'Plan mejoramiento'!E5))</f>
        <v>Programa: Ingeniería Electrónica</v>
      </c>
      <c r="E5" s="26"/>
      <c r="F5" s="27"/>
      <c r="H5" s="1"/>
    </row>
    <row r="6">
      <c r="A6" s="18" t="str">
        <f>'Plan mejoramiento'!A6</f>
        <v>Facultad:</v>
      </c>
      <c r="B6" s="30" t="str">
        <f>'Plan mejoramiento'!B6</f>
        <v>Facultad de Ciencias Básicas e Ingeniería</v>
      </c>
      <c r="C6" s="31"/>
      <c r="D6" s="25" t="str">
        <f>IF('Plan mejoramiento'!J6="","",CONCATENATE('Plan mejoramiento'!J6," ",#REF!))</f>
        <v>#REF!</v>
      </c>
      <c r="E6" s="26"/>
      <c r="F6" s="27"/>
      <c r="H6" s="1"/>
    </row>
    <row r="7" ht="2.25" customHeight="1">
      <c r="A7" s="1"/>
      <c r="B7" s="1"/>
      <c r="F7" s="1"/>
      <c r="G7" s="1"/>
      <c r="H7" s="1"/>
    </row>
    <row r="8">
      <c r="A8" s="35" t="str">
        <f>'Plan mejoramiento'!C8</f>
        <v>Descripción de la oportunidad de mejora</v>
      </c>
      <c r="B8" s="35" t="str">
        <f>'Plan mejoramiento'!G8</f>
        <v>Meta de la oportunidad de mejora</v>
      </c>
      <c r="C8" s="37" t="s">
        <v>33</v>
      </c>
      <c r="D8" s="39" t="s">
        <v>34</v>
      </c>
      <c r="E8" s="4"/>
      <c r="F8" s="40" t="s">
        <v>35</v>
      </c>
      <c r="G8" s="6"/>
      <c r="H8" s="1"/>
    </row>
    <row r="9" ht="35.25" customHeight="1">
      <c r="A9" s="11"/>
      <c r="B9" s="11"/>
      <c r="C9" s="11"/>
      <c r="D9" s="42" t="s">
        <v>39</v>
      </c>
      <c r="E9" s="43" t="s">
        <v>40</v>
      </c>
      <c r="F9" s="44" t="s">
        <v>41</v>
      </c>
      <c r="G9" s="44" t="s">
        <v>43</v>
      </c>
      <c r="H9" s="1"/>
    </row>
    <row r="10" ht="88.5" customHeight="1">
      <c r="A10" s="34" t="str">
        <f>'Plan mejoramiento'!C10</f>
        <v>Continuar con estrategias para lograr que los resultados de la prueba Saber Pro sean mayores en todas las competencias ai promedio obtenido por los estudiantes
del grupo de referencia NBC.
</v>
      </c>
      <c r="B10" s="34" t="str">
        <f>'Plan mejoramiento'!G10</f>
        <v>Meta 1.
Mantener cinco (5) puntos por encima de los resultados de la prueba Saber Pro del grupo de referencia </v>
      </c>
      <c r="C10" s="45">
        <v>1.0</v>
      </c>
      <c r="D10" s="47" t="s">
        <v>46</v>
      </c>
      <c r="E10" s="49" t="s">
        <v>48</v>
      </c>
      <c r="F10" s="51"/>
      <c r="G10" s="51"/>
      <c r="H10" s="32"/>
    </row>
    <row r="11">
      <c r="A11" s="34" t="str">
        <f>'Plan mejoramiento'!C11</f>
        <v>Mantener la participación en las actividades de Bienestar de un porcentaje significativo de estudiantes del Programa en cada periodo, dada la importancia declarada por la institución, en el desarrollo integral y en la permanencia.</v>
      </c>
      <c r="B11" s="53" t="str">
        <f>'Plan mejoramiento'!G11</f>
        <v>Meta 2a.2b, 2c
Incrementar al 60% la participación de la comunidad del programa en actividades de bienestar institucional </v>
      </c>
      <c r="C11" s="54">
        <v>0.786</v>
      </c>
      <c r="D11" s="56" t="s">
        <v>61</v>
      </c>
      <c r="E11" s="58" t="s">
        <v>48</v>
      </c>
      <c r="F11" s="60"/>
      <c r="G11" s="60"/>
      <c r="H11" s="32"/>
    </row>
    <row r="12" ht="34.5" customHeight="1">
      <c r="A12" s="53" t="str">
        <f>'Plan mejoramiento'!C12</f>
        <v>Bajo porcentaje de profesores y administrativos en actividades de Bienestar</v>
      </c>
      <c r="B12" s="8"/>
      <c r="C12" s="8"/>
      <c r="D12" s="8"/>
      <c r="E12" s="8"/>
      <c r="F12" s="8"/>
      <c r="G12" s="8"/>
      <c r="H12" s="32"/>
    </row>
    <row r="13" ht="54.75" customHeight="1">
      <c r="A13" s="11"/>
      <c r="B13" s="11"/>
      <c r="C13" s="11"/>
      <c r="D13" s="11"/>
      <c r="E13" s="11"/>
      <c r="F13" s="11"/>
      <c r="G13" s="11"/>
      <c r="H13" s="32"/>
    </row>
    <row r="14">
      <c r="A14" s="34" t="str">
        <f>'Plan mejoramiento'!C14</f>
        <v>El número de profesores no es suficiente para las necesidades del programa en relación con el número de estudiantes.</v>
      </c>
      <c r="B14" s="34" t="str">
        <f>'Plan mejoramiento'!G14</f>
        <v>Meta 3.
Desarrollar una (1) convocatoria de planta docente </v>
      </c>
      <c r="C14" s="45">
        <v>0.5</v>
      </c>
      <c r="D14" s="47" t="s">
        <v>74</v>
      </c>
      <c r="E14" s="49" t="s">
        <v>48</v>
      </c>
      <c r="F14" s="51"/>
      <c r="G14" s="51"/>
      <c r="H14" s="32"/>
    </row>
    <row r="15">
      <c r="A15" s="34" t="str">
        <f>'Plan mejoramiento'!C15</f>
        <v>Los tiempos de dedicación a las funciones misionales no cumplen con lo establecido en los indicadores del programa.</v>
      </c>
      <c r="B15" s="34" t="str">
        <f>'Plan mejoramiento'!G15</f>
        <v>Meta 4.
Incrementar al 25% la asignación de tiempos de los docentes TC a la investigación</v>
      </c>
      <c r="C15" s="45">
        <v>0.757</v>
      </c>
      <c r="D15" s="47" t="s">
        <v>76</v>
      </c>
      <c r="E15" s="49" t="s">
        <v>48</v>
      </c>
      <c r="F15" s="51"/>
      <c r="G15" s="51"/>
      <c r="H15" s="32"/>
    </row>
    <row r="16">
      <c r="A16" s="34" t="str">
        <f>'Plan mejoramiento'!C16</f>
        <v/>
      </c>
      <c r="B16" s="34" t="str">
        <f>'Plan mejoramiento'!G16</f>
        <v>Meta 5.
Incrementar al 20% la asignación de tiempos de los docentes TC a la Proyección Social</v>
      </c>
      <c r="C16" s="45">
        <v>0.8</v>
      </c>
      <c r="D16" s="47" t="s">
        <v>78</v>
      </c>
      <c r="E16" s="49" t="s">
        <v>48</v>
      </c>
      <c r="F16" s="51"/>
      <c r="G16" s="51"/>
      <c r="H16" s="32"/>
    </row>
    <row r="17">
      <c r="A17" s="34" t="str">
        <f>'Plan mejoramiento'!C17</f>
        <v>Continuar con estrategias para aumentar el material de apoyo docente, su aplicación, y difusión.</v>
      </c>
      <c r="B17" s="34" t="str">
        <f>'Plan mejoramiento'!G17</f>
        <v>Meta 6.
Desarrollar una (1) estrategia anual para fomentar la productividad y el material de apoyo docente</v>
      </c>
      <c r="C17" s="45">
        <v>0.0</v>
      </c>
      <c r="D17" s="47" t="s">
        <v>79</v>
      </c>
      <c r="E17" s="49" t="s">
        <v>48</v>
      </c>
      <c r="F17" s="51"/>
      <c r="G17" s="51"/>
      <c r="H17" s="32"/>
    </row>
    <row r="18">
      <c r="A18" s="34" t="str">
        <f>'Plan mejoramiento'!C18</f>
        <v>El número de productos derivados de la participación de profesores, estudiantes y directivos del programa en redes u organismos nacionales e internacionales es bajo.</v>
      </c>
      <c r="B18" s="34" t="str">
        <f>'Plan mejoramiento'!G18</f>
        <v>Meta 7.
Incrementar al 30% la participación de los docentes en redes u organismos nacionales e internacionales para generar productos</v>
      </c>
      <c r="C18" s="45">
        <v>1.0</v>
      </c>
      <c r="D18" s="47" t="s">
        <v>84</v>
      </c>
      <c r="E18" s="49" t="s">
        <v>48</v>
      </c>
      <c r="F18" s="51"/>
      <c r="G18" s="51"/>
      <c r="H18" s="32"/>
    </row>
    <row r="19">
      <c r="A19" s="34" t="str">
        <f>'Plan mejoramiento'!C19</f>
        <v/>
      </c>
      <c r="B19" s="34" t="str">
        <f>'Plan mejoramiento'!G19</f>
        <v>Meta 8.
Desarrollar un (1) producto bienalmente como resultado de la articulación de redes académicas </v>
      </c>
      <c r="C19" s="45">
        <v>1.0</v>
      </c>
      <c r="D19" s="47" t="s">
        <v>88</v>
      </c>
      <c r="E19" s="49" t="s">
        <v>48</v>
      </c>
      <c r="F19" s="51"/>
      <c r="G19" s="51"/>
      <c r="H19" s="32"/>
    </row>
    <row r="20">
      <c r="A20" s="34" t="str">
        <f>'Plan mejoramiento'!C20</f>
        <v>Continuar promoviendo la movilidad entrante nacional e internacional y la saliente nacional</v>
      </c>
      <c r="B20" s="34" t="str">
        <f>'Plan mejoramiento'!G20</f>
        <v>Meta 9.
Realizar la movilidad de un (1) estudiante extranjero bienalmente</v>
      </c>
      <c r="C20" s="45">
        <v>1.0</v>
      </c>
      <c r="D20" s="47" t="s">
        <v>90</v>
      </c>
      <c r="E20" s="49" t="s">
        <v>48</v>
      </c>
      <c r="F20" s="51"/>
      <c r="G20" s="51"/>
      <c r="H20" s="32"/>
    </row>
    <row r="21" ht="140.25" customHeight="1">
      <c r="A21" s="34" t="str">
        <f>'Plan mejoramiento'!C21</f>
        <v>Aumentar la movilidad saliente de estudiantes del Programa en distintas modalidades. Aunque el Programa argumenta la reducción en este indicador, en la pandemia y el paro, es posible complementar estos resultados, estableciendo otras actividades en distintas modalidades con efectos en la visibilidad y la cooperación nacional e internacional.</v>
      </c>
      <c r="B21" s="34" t="str">
        <f>'Plan mejoramiento'!G21</f>
        <v>Meta 10.
Lograr que el 20% de estudiantes a partir del V semestre realicen movilidad saliente nacional o internacional anualmente </v>
      </c>
      <c r="C21" s="45">
        <v>1.0</v>
      </c>
      <c r="D21" s="47" t="s">
        <v>93</v>
      </c>
      <c r="E21" s="49" t="s">
        <v>48</v>
      </c>
      <c r="F21" s="51"/>
      <c r="G21" s="51"/>
      <c r="H21" s="32"/>
    </row>
    <row r="22" ht="108.75" customHeight="1">
      <c r="A22" s="34" t="str">
        <f>'Plan mejoramiento'!C22</f>
        <v>Persistir en acciones que permitan de manera efectiva continuar disminuyendo la deserción en el Programa. La tasa de deserción anual para 3 periodos entre 2019 y
2021 es superior al promedio nacional para nivel de formación.</v>
      </c>
      <c r="B22" s="34" t="str">
        <f>'Plan mejoramiento'!G22</f>
        <v>Meta 11.
Mantener un (1) digito la tasa deserción del programa </v>
      </c>
      <c r="C22" s="45">
        <v>0.0</v>
      </c>
      <c r="D22" s="47" t="s">
        <v>95</v>
      </c>
      <c r="E22" s="49" t="s">
        <v>48</v>
      </c>
      <c r="F22" s="51"/>
      <c r="G22" s="51"/>
      <c r="H22" s="32"/>
    </row>
    <row r="23" ht="148.5" customHeight="1">
      <c r="A23" s="34" t="str">
        <f>'Plan mejoramiento'!C23</f>
        <v>Continuar con la estrategia para lograr la graduación en el tiempo aprobado en el registro calificado. La tasa acumulada de graduación del Programa al semestre 13 es del 23.57% inferior al promedio nacional para el profesional universitario. Aunque es mejor con relación al proceso anterior de acreditación, aún hay una  Oportunidad de mejora significativa en el comparativo nacional con el promedio del nivel de formación.</v>
      </c>
      <c r="B23" s="34" t="str">
        <f>'Plan mejoramiento'!G23</f>
        <v>Meta 12. 
Mantener en 12,5 de semestres para la graduación</v>
      </c>
      <c r="C23" s="45">
        <v>0.0</v>
      </c>
      <c r="D23" s="47" t="s">
        <v>95</v>
      </c>
      <c r="E23" s="49" t="s">
        <v>48</v>
      </c>
      <c r="F23" s="51"/>
      <c r="G23" s="51"/>
      <c r="H23" s="32"/>
    </row>
    <row r="24" ht="80.25" customHeight="1">
      <c r="A24" s="34" t="str">
        <f>'Plan mejoramiento'!C24</f>
        <v>Continuar con estrategias y apoyos para mejorar la categoría de los grupos de
investigación y el reconocimiento de profesores como investigadores.</v>
      </c>
      <c r="B24" s="34" t="str">
        <f>'Plan mejoramiento'!G24</f>
        <v>Meta 13. 
Lograr que un (1) grupos de investigación suba de categoría</v>
      </c>
      <c r="C24" s="45">
        <v>1.0</v>
      </c>
      <c r="D24" s="47" t="s">
        <v>100</v>
      </c>
      <c r="E24" s="49" t="s">
        <v>48</v>
      </c>
      <c r="F24" s="51"/>
      <c r="G24" s="51"/>
      <c r="H24" s="32"/>
    </row>
    <row r="25" ht="60.75" customHeight="1">
      <c r="A25" s="34" t="str">
        <f>'Plan mejoramiento'!C25</f>
        <v>
Se requiere incrementar el número de registros de egresados en la base de datos</v>
      </c>
      <c r="B25" s="34" t="str">
        <f>'Plan mejoramiento'!G25</f>
        <v>Meta 14. 
Aumentar al 45% los registros actualizados de los egresados en la base de datos del Programa</v>
      </c>
      <c r="C25" s="45">
        <v>0.0</v>
      </c>
      <c r="D25" s="47" t="s">
        <v>103</v>
      </c>
      <c r="E25" s="49" t="s">
        <v>48</v>
      </c>
      <c r="F25" s="51"/>
      <c r="G25" s="51"/>
      <c r="H25" s="32"/>
    </row>
    <row r="26" ht="52.5" customHeight="1">
      <c r="A26" s="34" t="str">
        <f>'Plan mejoramiento'!C26</f>
        <v>Continuar robusteciendo la infraestructura de laboratorios y equipos disponibles para el Programa en las distintas líneas de profundización, tanto para la docencia,
coma para la investigación, y cumplir con el plan de mantenimiento y calibración de equipos de laboratorios de manera permanente.</v>
      </c>
      <c r="B26" s="34" t="str">
        <f>'Plan mejoramiento'!G26</f>
        <v>Meta 15. 
Construir un (1) complejo de laboratorios</v>
      </c>
      <c r="C26" s="79"/>
      <c r="D26" s="47" t="s">
        <v>105</v>
      </c>
      <c r="E26" s="49" t="s">
        <v>48</v>
      </c>
      <c r="F26" s="51"/>
      <c r="G26" s="51"/>
      <c r="H26" s="32"/>
    </row>
    <row r="27" ht="66.75" customHeight="1">
      <c r="A27" s="34" t="str">
        <f>'Plan mejoramiento'!C27</f>
        <v/>
      </c>
      <c r="B27" s="34" t="str">
        <f>'Plan mejoramiento'!G27</f>
        <v>Meta 16. 
Ejecutar el 100% del plan de adquisición de equipos de medios educativos para los laboratorios del Sistema de Gestión de Laboratorios.</v>
      </c>
      <c r="C27" s="79"/>
      <c r="D27" s="47" t="s">
        <v>105</v>
      </c>
      <c r="E27" s="49" t="s">
        <v>48</v>
      </c>
      <c r="F27" s="51"/>
      <c r="G27" s="51"/>
      <c r="H27" s="32"/>
    </row>
    <row r="28" ht="85.5" customHeight="1">
      <c r="A28" s="34" t="str">
        <f>'Plan mejoramiento'!C28</f>
        <v>Se requiere fortalecer el seguimiento de la medición de impacto que evidencie el desarrollo de las funciones misionales</v>
      </c>
      <c r="B28" s="34" t="str">
        <f>'Plan mejoramiento'!G28</f>
        <v>Meta 17. 
Obtener el nivel de cumplimiento mayor o igual al 80% en la medición del impacto</v>
      </c>
      <c r="C28" s="45">
        <v>0.0</v>
      </c>
      <c r="D28" s="47" t="s">
        <v>109</v>
      </c>
      <c r="E28" s="49" t="s">
        <v>48</v>
      </c>
      <c r="F28" s="51"/>
      <c r="G28" s="51"/>
      <c r="H28" s="32"/>
    </row>
  </sheetData>
  <mergeCells count="23">
    <mergeCell ref="F6:G6"/>
    <mergeCell ref="B7:E7"/>
    <mergeCell ref="D8:E8"/>
    <mergeCell ref="F8:G8"/>
    <mergeCell ref="A1:A3"/>
    <mergeCell ref="B1:G1"/>
    <mergeCell ref="B2:G2"/>
    <mergeCell ref="B3:C3"/>
    <mergeCell ref="E3:F3"/>
    <mergeCell ref="B4:E4"/>
    <mergeCell ref="F5:G5"/>
    <mergeCell ref="D11:D13"/>
    <mergeCell ref="E11:E13"/>
    <mergeCell ref="F11:F13"/>
    <mergeCell ref="G11:G13"/>
    <mergeCell ref="B5:C5"/>
    <mergeCell ref="B6:C6"/>
    <mergeCell ref="A8:A9"/>
    <mergeCell ref="B8:B9"/>
    <mergeCell ref="C8:C9"/>
    <mergeCell ref="B11:B13"/>
    <mergeCell ref="C11:C13"/>
    <mergeCell ref="A12:A13"/>
  </mergeCells>
  <conditionalFormatting sqref="C10:C28">
    <cfRule type="expression" dxfId="0" priority="1">
      <formula>$C$10=""</formula>
    </cfRule>
  </conditionalFormatting>
  <conditionalFormatting sqref="D10:D28">
    <cfRule type="expression" dxfId="0" priority="2">
      <formula>$D$10=""</formula>
    </cfRule>
  </conditionalFormatting>
  <conditionalFormatting sqref="E10:E28">
    <cfRule type="expression" dxfId="0" priority="3">
      <formula>$E$10=""</formula>
    </cfRule>
  </conditionalFormatting>
  <conditionalFormatting sqref="F10:G28">
    <cfRule type="expression" dxfId="1" priority="4">
      <formula>$F$10=""</formula>
    </cfRule>
  </conditionalFormatting>
  <conditionalFormatting sqref="C10:C28">
    <cfRule type="cellIs" dxfId="2" priority="5" operator="greaterThan">
      <formula>1</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0"/>
  <cols>
    <col customWidth="1" min="1" max="1" width="26.75"/>
    <col customWidth="1" min="2" max="2" width="34.25"/>
    <col customWidth="1" min="3" max="3" width="12.75"/>
    <col customWidth="1" min="4" max="4" width="48.63"/>
    <col customWidth="1" min="5" max="5" width="15.5"/>
    <col customWidth="1" min="6" max="6" width="24.88"/>
    <col customWidth="1" min="7" max="7" width="21.75"/>
    <col customWidth="1" min="8" max="8" width="1.13"/>
  </cols>
  <sheetData>
    <row r="1" ht="15.75" customHeight="1">
      <c r="A1" s="2"/>
      <c r="B1" s="3" t="s">
        <v>0</v>
      </c>
      <c r="C1" s="4"/>
      <c r="D1" s="4"/>
      <c r="E1" s="4"/>
      <c r="F1" s="4"/>
      <c r="G1" s="6"/>
      <c r="H1" s="7"/>
    </row>
    <row r="2" ht="15.75" customHeight="1">
      <c r="A2" s="8"/>
      <c r="B2" s="9" t="s">
        <v>1</v>
      </c>
      <c r="C2" s="4"/>
      <c r="D2" s="4"/>
      <c r="E2" s="4"/>
      <c r="F2" s="4"/>
      <c r="G2" s="6"/>
      <c r="H2" s="10"/>
    </row>
    <row r="3" ht="15.75" customHeight="1">
      <c r="A3" s="11"/>
      <c r="B3" s="12" t="s">
        <v>112</v>
      </c>
      <c r="C3" s="6"/>
      <c r="D3" s="13" t="s">
        <v>114</v>
      </c>
      <c r="E3" s="16" t="s">
        <v>116</v>
      </c>
      <c r="F3" s="6"/>
      <c r="G3" s="13" t="s">
        <v>117</v>
      </c>
      <c r="H3" s="10"/>
    </row>
    <row r="4" ht="2.25" customHeight="1">
      <c r="A4" s="5"/>
      <c r="B4" s="5"/>
      <c r="F4" s="5"/>
      <c r="G4" s="5"/>
      <c r="H4" s="5"/>
    </row>
    <row r="5">
      <c r="A5" s="18" t="s">
        <v>12</v>
      </c>
      <c r="B5" s="22" t="str">
        <f>IF('Plan mejoramiento'!B5="","",'Plan mejoramiento'!B5)</f>
        <v>De programa</v>
      </c>
      <c r="C5" s="6"/>
      <c r="D5" s="25" t="str">
        <f>IF('Plan mejoramiento'!E5="","",CONCATENATE('Plan mejoramiento'!D5," ",'Plan mejoramiento'!E5))</f>
        <v>Programa: Ingeniería Electrónica</v>
      </c>
      <c r="E5" s="26"/>
      <c r="F5" s="27"/>
      <c r="H5" s="1"/>
    </row>
    <row r="6">
      <c r="A6" s="18" t="str">
        <f>'Plan mejoramiento'!A6</f>
        <v>Facultad:</v>
      </c>
      <c r="B6" s="30" t="str">
        <f>'Plan mejoramiento'!B6</f>
        <v>Facultad de Ciencias Básicas e Ingeniería</v>
      </c>
      <c r="C6" s="31"/>
      <c r="D6" s="25" t="str">
        <f>IF('Plan mejoramiento'!J6="","",CONCATENATE('Plan mejoramiento'!J6," ",#REF!))</f>
        <v>#REF!</v>
      </c>
      <c r="E6" s="26"/>
      <c r="F6" s="27"/>
      <c r="H6" s="1"/>
    </row>
    <row r="7" ht="2.25" customHeight="1">
      <c r="A7" s="1"/>
      <c r="B7" s="1"/>
      <c r="F7" s="1"/>
      <c r="G7" s="1"/>
      <c r="H7" s="1"/>
    </row>
    <row r="8">
      <c r="A8" s="35" t="str">
        <f>'Plan mejoramiento'!C8</f>
        <v>Descripción de la oportunidad de mejora</v>
      </c>
      <c r="B8" s="35" t="str">
        <f>'Plan mejoramiento'!G8</f>
        <v>Meta de la oportunidad de mejora</v>
      </c>
      <c r="C8" s="37" t="s">
        <v>33</v>
      </c>
      <c r="D8" s="39" t="s">
        <v>34</v>
      </c>
      <c r="E8" s="4"/>
      <c r="F8" s="40" t="s">
        <v>35</v>
      </c>
      <c r="G8" s="6"/>
      <c r="H8" s="1"/>
    </row>
    <row r="9" ht="35.25" customHeight="1">
      <c r="A9" s="11"/>
      <c r="B9" s="11"/>
      <c r="C9" s="11"/>
      <c r="D9" s="42" t="s">
        <v>39</v>
      </c>
      <c r="E9" s="43" t="s">
        <v>40</v>
      </c>
      <c r="F9" s="44" t="s">
        <v>143</v>
      </c>
      <c r="G9" s="44" t="s">
        <v>43</v>
      </c>
      <c r="H9" s="1"/>
    </row>
    <row r="10" ht="88.5" customHeight="1">
      <c r="A10" s="34" t="str">
        <f>'Plan mejoramiento'!C10</f>
        <v>Continuar con estrategias para lograr que los resultados de la prueba Saber Pro sean mayores en todas las competencias ai promedio obtenido por los estudiantes
del grupo de referencia NBC.
</v>
      </c>
      <c r="B10" s="34" t="str">
        <f>'Plan mejoramiento'!G10</f>
        <v>Meta 1.
Mantener cinco (5) puntos por encima de los resultados de la prueba Saber Pro del grupo de referencia </v>
      </c>
      <c r="C10" s="113">
        <v>1.0</v>
      </c>
      <c r="D10" s="114" t="s">
        <v>150</v>
      </c>
      <c r="E10" s="115" t="s">
        <v>151</v>
      </c>
      <c r="F10" s="51"/>
      <c r="G10" s="51"/>
      <c r="H10" s="32"/>
    </row>
    <row r="11">
      <c r="A11" s="34" t="str">
        <f>'Plan mejoramiento'!C11</f>
        <v>Mantener la participación en las actividades de Bienestar de un porcentaje significativo de estudiantes del Programa en cada periodo, dada la importancia declarada por la institución, en el desarrollo integral y en la permanencia.</v>
      </c>
      <c r="B11" s="53" t="str">
        <f>'Plan mejoramiento'!G11</f>
        <v>Meta 2a.2b, 2c
Incrementar al 60% la participación de la comunidad del programa en actividades de bienestar institucional </v>
      </c>
      <c r="C11" s="54">
        <v>0.786</v>
      </c>
      <c r="D11" s="117" t="s">
        <v>157</v>
      </c>
      <c r="E11" s="119" t="s">
        <v>160</v>
      </c>
      <c r="F11" s="60"/>
      <c r="G11" s="60"/>
      <c r="H11" s="32"/>
    </row>
    <row r="12" ht="34.5" customHeight="1">
      <c r="A12" s="53" t="str">
        <f>'Plan mejoramiento'!C12</f>
        <v>Bajo porcentaje de profesores y administrativos en actividades de Bienestar</v>
      </c>
      <c r="B12" s="8"/>
      <c r="C12" s="8"/>
      <c r="D12" s="8"/>
      <c r="E12" s="8"/>
      <c r="F12" s="8"/>
      <c r="G12" s="8"/>
      <c r="H12" s="32"/>
    </row>
    <row r="13" ht="54.75" customHeight="1">
      <c r="A13" s="11"/>
      <c r="B13" s="11"/>
      <c r="C13" s="11"/>
      <c r="D13" s="11"/>
      <c r="E13" s="11"/>
      <c r="F13" s="11"/>
      <c r="G13" s="11"/>
      <c r="H13" s="32"/>
    </row>
    <row r="14">
      <c r="A14" s="34" t="str">
        <f>'Plan mejoramiento'!C14</f>
        <v>El número de profesores no es suficiente para las necesidades del programa en relación con el número de estudiantes.</v>
      </c>
      <c r="B14" s="34" t="str">
        <f>'Plan mejoramiento'!G14</f>
        <v>Meta 3.
Desarrollar una (1) convocatoria de planta docente </v>
      </c>
      <c r="C14" s="113">
        <v>0.8</v>
      </c>
      <c r="D14" s="114" t="s">
        <v>169</v>
      </c>
      <c r="E14" s="123" t="s">
        <v>170</v>
      </c>
      <c r="F14" s="51"/>
      <c r="G14" s="51"/>
      <c r="H14" s="32"/>
    </row>
    <row r="15">
      <c r="A15" s="34" t="str">
        <f>'Plan mejoramiento'!C15</f>
        <v>Los tiempos de dedicación a las funciones misionales no cumplen con lo establecido en los indicadores del programa.</v>
      </c>
      <c r="B15" s="34" t="str">
        <f>'Plan mejoramiento'!G15</f>
        <v>Meta 4.
Incrementar al 25% la asignación de tiempos de los docentes TC a la investigación</v>
      </c>
      <c r="C15" s="113">
        <v>1.0</v>
      </c>
      <c r="D15" s="114" t="s">
        <v>174</v>
      </c>
      <c r="E15" s="123" t="s">
        <v>170</v>
      </c>
      <c r="F15" s="51"/>
      <c r="G15" s="51"/>
      <c r="H15" s="32"/>
    </row>
    <row r="16">
      <c r="A16" s="34" t="str">
        <f>'Plan mejoramiento'!C16</f>
        <v/>
      </c>
      <c r="B16" s="34" t="str">
        <f>'Plan mejoramiento'!G16</f>
        <v>Meta 5.
Incrementar al 20% la asignación de tiempos de los docentes TC a la Proyección Social</v>
      </c>
      <c r="C16" s="45">
        <v>0.8</v>
      </c>
      <c r="D16" s="114" t="s">
        <v>175</v>
      </c>
      <c r="E16" s="123" t="s">
        <v>170</v>
      </c>
      <c r="F16" s="51"/>
      <c r="G16" s="51"/>
      <c r="H16" s="32"/>
    </row>
    <row r="17">
      <c r="A17" s="34" t="str">
        <f>'Plan mejoramiento'!C17</f>
        <v>Continuar con estrategias para aumentar el material de apoyo docente, su aplicación, y difusión.</v>
      </c>
      <c r="B17" s="34" t="str">
        <f>'Plan mejoramiento'!G17</f>
        <v>Meta 6.
Desarrollar una (1) estrategia anual para fomentar la productividad y el material de apoyo docente</v>
      </c>
      <c r="C17" s="113">
        <v>0.0</v>
      </c>
      <c r="D17" s="114" t="s">
        <v>179</v>
      </c>
      <c r="E17" s="123" t="s">
        <v>170</v>
      </c>
      <c r="F17" s="51"/>
      <c r="G17" s="51"/>
      <c r="H17" s="32"/>
    </row>
    <row r="18">
      <c r="A18" s="34" t="str">
        <f>'Plan mejoramiento'!C18</f>
        <v>El número de productos derivados de la participación de profesores, estudiantes y directivos del programa en redes u organismos nacionales e internacionales es bajo.</v>
      </c>
      <c r="B18" s="34" t="str">
        <f>'Plan mejoramiento'!G18</f>
        <v>Meta 7.
Incrementar al 30% la participación de los docentes en redes u organismos nacionales e internacionales para generar productos</v>
      </c>
      <c r="C18" s="113">
        <v>0.11</v>
      </c>
      <c r="D18" s="114" t="s">
        <v>186</v>
      </c>
      <c r="E18" s="123" t="s">
        <v>170</v>
      </c>
      <c r="F18" s="51"/>
      <c r="G18" s="51"/>
      <c r="H18" s="32"/>
    </row>
    <row r="19">
      <c r="A19" s="34" t="str">
        <f>'Plan mejoramiento'!C19</f>
        <v/>
      </c>
      <c r="B19" s="34" t="str">
        <f>'Plan mejoramiento'!G19</f>
        <v>Meta 8.
Desarrollar un (1) producto bienalmente como resultado de la articulación de redes académicas </v>
      </c>
      <c r="C19" s="113">
        <v>1.0</v>
      </c>
      <c r="D19" s="114" t="s">
        <v>193</v>
      </c>
      <c r="E19" s="123" t="s">
        <v>170</v>
      </c>
      <c r="F19" s="51"/>
      <c r="G19" s="51"/>
      <c r="H19" s="32"/>
    </row>
    <row r="20">
      <c r="A20" s="34" t="str">
        <f>'Plan mejoramiento'!C20</f>
        <v>Continuar promoviendo la movilidad entrante nacional e internacional y la saliente nacional</v>
      </c>
      <c r="B20" s="34" t="str">
        <f>'Plan mejoramiento'!G20</f>
        <v>Meta 9.
Realizar la movilidad de un (1) estudiante extranjero bienalmente</v>
      </c>
      <c r="C20" s="113">
        <v>0.0</v>
      </c>
      <c r="D20" s="114" t="s">
        <v>196</v>
      </c>
      <c r="E20" s="123" t="s">
        <v>170</v>
      </c>
      <c r="F20" s="51"/>
      <c r="G20" s="51"/>
      <c r="H20" s="32"/>
    </row>
    <row r="21" ht="140.25" customHeight="1">
      <c r="A21" s="34" t="str">
        <f>'Plan mejoramiento'!C21</f>
        <v>Aumentar la movilidad saliente de estudiantes del Programa en distintas modalidades. Aunque el Programa argumenta la reducción en este indicador, en la pandemia y el paro, es posible complementar estos resultados, estableciendo otras actividades en distintas modalidades con efectos en la visibilidad y la cooperación nacional e internacional.</v>
      </c>
      <c r="B21" s="34" t="str">
        <f>'Plan mejoramiento'!G21</f>
        <v>Meta 10.
Lograr que el 20% de estudiantes a partir del V semestre realicen movilidad saliente nacional o internacional anualmente </v>
      </c>
      <c r="C21" s="113">
        <v>0.0021</v>
      </c>
      <c r="D21" s="114" t="s">
        <v>202</v>
      </c>
      <c r="E21" s="123" t="s">
        <v>170</v>
      </c>
      <c r="F21" s="51"/>
      <c r="G21" s="51"/>
      <c r="H21" s="32"/>
    </row>
    <row r="22" ht="108.75" customHeight="1">
      <c r="A22" s="34" t="str">
        <f>'Plan mejoramiento'!C22</f>
        <v>Persistir en acciones que permitan de manera efectiva continuar disminuyendo la deserción en el Programa. La tasa de deserción anual para 3 periodos entre 2019 y
2021 es superior al promedio nacional para nivel de formación.</v>
      </c>
      <c r="B22" s="34" t="str">
        <f>'Plan mejoramiento'!G22</f>
        <v>Meta 11.
Mantener un (1) digito la tasa deserción del programa </v>
      </c>
      <c r="C22" s="113">
        <v>0.9208</v>
      </c>
      <c r="D22" s="114" t="s">
        <v>207</v>
      </c>
      <c r="E22" s="123" t="s">
        <v>170</v>
      </c>
      <c r="F22" s="51"/>
      <c r="G22" s="51"/>
      <c r="H22" s="32"/>
    </row>
    <row r="23" ht="148.5" customHeight="1">
      <c r="A23" s="34" t="str">
        <f>'Plan mejoramiento'!C23</f>
        <v>Continuar con la estrategia para lograr la graduación en el tiempo aprobado en el registro calificado. La tasa acumulada de graduación del Programa al semestre 13 es del 23.57% inferior al promedio nacional para el profesional universitario. Aunque es mejor con relación al proceso anterior de acreditación, aún hay una  Oportunidad de mejora significativa en el comparativo nacional con el promedio del nivel de formación.</v>
      </c>
      <c r="B23" s="34" t="str">
        <f>'Plan mejoramiento'!G23</f>
        <v>Meta 12. 
Mantener en 12,5 de semestres para la graduación</v>
      </c>
      <c r="C23" s="130">
        <v>0.0</v>
      </c>
      <c r="D23" s="114" t="s">
        <v>214</v>
      </c>
      <c r="E23" s="123" t="s">
        <v>170</v>
      </c>
      <c r="F23" s="51"/>
      <c r="G23" s="51"/>
      <c r="H23" s="32"/>
    </row>
    <row r="24" ht="80.25" customHeight="1">
      <c r="A24" s="34" t="str">
        <f>'Plan mejoramiento'!C24</f>
        <v>Continuar con estrategias y apoyos para mejorar la categoría de los grupos de
investigación y el reconocimiento de profesores como investigadores.</v>
      </c>
      <c r="B24" s="34" t="str">
        <f>'Plan mejoramiento'!G24</f>
        <v>Meta 13. 
Lograr que un (1) grupos de investigación suba de categoría</v>
      </c>
      <c r="C24" s="113">
        <v>1.0</v>
      </c>
      <c r="D24" s="114" t="s">
        <v>100</v>
      </c>
      <c r="E24" s="123" t="s">
        <v>170</v>
      </c>
      <c r="F24" s="51"/>
      <c r="G24" s="51"/>
      <c r="H24" s="32"/>
    </row>
    <row r="25" ht="60.75" customHeight="1">
      <c r="A25" s="34" t="str">
        <f>'Plan mejoramiento'!C25</f>
        <v>
Se requiere incrementar el número de registros de egresados en la base de datos</v>
      </c>
      <c r="B25" s="34" t="str">
        <f>'Plan mejoramiento'!G25</f>
        <v>Meta 14. 
Aumentar al 45% los registros actualizados de los egresados en la base de datos del Programa</v>
      </c>
      <c r="C25" s="130">
        <v>0.0</v>
      </c>
      <c r="D25" s="114" t="s">
        <v>103</v>
      </c>
      <c r="E25" s="123" t="s">
        <v>170</v>
      </c>
      <c r="F25" s="51"/>
      <c r="G25" s="51"/>
      <c r="H25" s="32"/>
    </row>
    <row r="26" ht="52.5" customHeight="1">
      <c r="A26" s="34" t="str">
        <f>'Plan mejoramiento'!C26</f>
        <v>Continuar robusteciendo la infraestructura de laboratorios y equipos disponibles para el Programa en las distintas líneas de profundización, tanto para la docencia,
coma para la investigación, y cumplir con el plan de mantenimiento y calibración de equipos de laboratorios de manera permanente.</v>
      </c>
      <c r="B26" s="34" t="str">
        <f>'Plan mejoramiento'!G26</f>
        <v>Meta 15. 
Construir un (1) complejo de laboratorios</v>
      </c>
      <c r="C26" s="133"/>
      <c r="D26" s="114" t="s">
        <v>105</v>
      </c>
      <c r="E26" s="123" t="s">
        <v>170</v>
      </c>
      <c r="F26" s="51"/>
      <c r="G26" s="51"/>
      <c r="H26" s="32"/>
    </row>
    <row r="27" ht="66.75" customHeight="1">
      <c r="A27" s="34" t="str">
        <f>'Plan mejoramiento'!C27</f>
        <v/>
      </c>
      <c r="B27" s="34" t="str">
        <f>'Plan mejoramiento'!G27</f>
        <v>Meta 16. 
Ejecutar el 100% del plan de adquisición de equipos de medios educativos para los laboratorios del Sistema de Gestión de Laboratorios.</v>
      </c>
      <c r="C27" s="133"/>
      <c r="D27" s="114" t="s">
        <v>226</v>
      </c>
      <c r="E27" s="123" t="s">
        <v>170</v>
      </c>
      <c r="F27" s="51"/>
      <c r="G27" s="51"/>
      <c r="H27" s="32"/>
    </row>
    <row r="28" ht="85.5" customHeight="1">
      <c r="A28" s="34" t="str">
        <f>'Plan mejoramiento'!C28</f>
        <v>Se requiere fortalecer el seguimiento de la medición de impacto que evidencie el desarrollo de las funciones misionales</v>
      </c>
      <c r="B28" s="34" t="str">
        <f>'Plan mejoramiento'!G28</f>
        <v>Meta 17. 
Obtener el nivel de cumplimiento mayor o igual al 80% en la medición del impacto</v>
      </c>
      <c r="C28" s="130">
        <v>0.0</v>
      </c>
      <c r="D28" s="114" t="s">
        <v>109</v>
      </c>
      <c r="E28" s="123" t="s">
        <v>170</v>
      </c>
      <c r="F28" s="51"/>
      <c r="G28" s="51"/>
      <c r="H28" s="32"/>
    </row>
  </sheetData>
  <mergeCells count="23">
    <mergeCell ref="F6:G6"/>
    <mergeCell ref="B7:E7"/>
    <mergeCell ref="D8:E8"/>
    <mergeCell ref="F8:G8"/>
    <mergeCell ref="A1:A3"/>
    <mergeCell ref="B1:G1"/>
    <mergeCell ref="B2:G2"/>
    <mergeCell ref="B3:C3"/>
    <mergeCell ref="E3:F3"/>
    <mergeCell ref="B4:E4"/>
    <mergeCell ref="F5:G5"/>
    <mergeCell ref="F11:F13"/>
    <mergeCell ref="G11:G13"/>
    <mergeCell ref="D11:D13"/>
    <mergeCell ref="E11:E13"/>
    <mergeCell ref="B5:C5"/>
    <mergeCell ref="B6:C6"/>
    <mergeCell ref="A8:A9"/>
    <mergeCell ref="B8:B9"/>
    <mergeCell ref="C8:C9"/>
    <mergeCell ref="B11:B13"/>
    <mergeCell ref="A12:A13"/>
    <mergeCell ref="C11:C13"/>
  </mergeCells>
  <conditionalFormatting sqref="C10:C28">
    <cfRule type="expression" dxfId="0" priority="1">
      <formula>$C$10=""</formula>
    </cfRule>
  </conditionalFormatting>
  <conditionalFormatting sqref="D10:D28">
    <cfRule type="expression" dxfId="0" priority="2">
      <formula>$D$10=""</formula>
    </cfRule>
  </conditionalFormatting>
  <conditionalFormatting sqref="E10:E28">
    <cfRule type="expression" dxfId="0" priority="3">
      <formula>$E$10=""</formula>
    </cfRule>
  </conditionalFormatting>
  <conditionalFormatting sqref="F10:G28">
    <cfRule type="expression" dxfId="1" priority="4">
      <formula>$F$10=""</formula>
    </cfRule>
  </conditionalFormatting>
  <conditionalFormatting sqref="C10:C28">
    <cfRule type="cellIs" dxfId="2" priority="5" operator="greaterThan">
      <formula>1</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0"/>
  <cols>
    <col customWidth="1" min="1" max="1" width="26.75"/>
    <col customWidth="1" min="2" max="2" width="34.25"/>
    <col customWidth="1" min="3" max="3" width="12.75"/>
    <col customWidth="1" min="4" max="4" width="48.63"/>
    <col customWidth="1" min="5" max="5" width="15.5"/>
    <col customWidth="1" min="6" max="6" width="24.88"/>
    <col customWidth="1" min="7" max="7" width="21.75"/>
    <col customWidth="1" min="8" max="8" width="1.13"/>
  </cols>
  <sheetData>
    <row r="1" ht="15.75" customHeight="1">
      <c r="A1" s="2"/>
      <c r="B1" s="3" t="s">
        <v>0</v>
      </c>
      <c r="C1" s="4"/>
      <c r="D1" s="4"/>
      <c r="E1" s="4"/>
      <c r="F1" s="4"/>
      <c r="G1" s="6"/>
      <c r="H1" s="7"/>
    </row>
    <row r="2" ht="15.75" customHeight="1">
      <c r="A2" s="8"/>
      <c r="B2" s="9" t="s">
        <v>1</v>
      </c>
      <c r="C2" s="4"/>
      <c r="D2" s="4"/>
      <c r="E2" s="4"/>
      <c r="F2" s="4"/>
      <c r="G2" s="6"/>
      <c r="H2" s="10"/>
    </row>
    <row r="3" ht="15.75" customHeight="1">
      <c r="A3" s="11"/>
      <c r="B3" s="12" t="s">
        <v>153</v>
      </c>
      <c r="C3" s="6"/>
      <c r="D3" s="13" t="s">
        <v>156</v>
      </c>
      <c r="E3" s="16" t="s">
        <v>159</v>
      </c>
      <c r="F3" s="6"/>
      <c r="G3" s="13" t="s">
        <v>161</v>
      </c>
      <c r="H3" s="10"/>
    </row>
    <row r="4" ht="2.25" customHeight="1">
      <c r="A4" s="5"/>
      <c r="B4" s="5"/>
      <c r="F4" s="5"/>
      <c r="G4" s="5"/>
      <c r="H4" s="5"/>
    </row>
    <row r="5">
      <c r="A5" s="18" t="s">
        <v>12</v>
      </c>
      <c r="B5" s="22" t="str">
        <f>IF('Plan mejoramiento'!B5="","",'Plan mejoramiento'!B5)</f>
        <v>De programa</v>
      </c>
      <c r="C5" s="6"/>
      <c r="D5" s="25" t="str">
        <f>IF('Plan mejoramiento'!E5="","",CONCATENATE('Plan mejoramiento'!D5," ",'Plan mejoramiento'!E5))</f>
        <v>Programa: Ingeniería Electrónica</v>
      </c>
      <c r="E5" s="26"/>
      <c r="F5" s="27"/>
      <c r="H5" s="1"/>
    </row>
    <row r="6">
      <c r="A6" s="18" t="str">
        <f>'Plan mejoramiento'!A6</f>
        <v>Facultad:</v>
      </c>
      <c r="B6" s="30" t="str">
        <f>'Plan mejoramiento'!B6</f>
        <v>Facultad de Ciencias Básicas e Ingeniería</v>
      </c>
      <c r="C6" s="31"/>
      <c r="D6" s="25" t="str">
        <f>IF('Plan mejoramiento'!J6="","",CONCATENATE('Plan mejoramiento'!J6," ",#REF!))</f>
        <v>#REF!</v>
      </c>
      <c r="E6" s="26"/>
      <c r="F6" s="27"/>
      <c r="H6" s="1"/>
    </row>
    <row r="7" ht="2.25" customHeight="1">
      <c r="A7" s="1"/>
      <c r="B7" s="1"/>
      <c r="F7" s="1"/>
      <c r="G7" s="1"/>
      <c r="H7" s="1"/>
    </row>
    <row r="8">
      <c r="A8" s="35" t="str">
        <f>'Plan mejoramiento'!C8</f>
        <v>Descripción de la oportunidad de mejora</v>
      </c>
      <c r="B8" s="35" t="str">
        <f>'Plan mejoramiento'!G8</f>
        <v>Meta de la oportunidad de mejora</v>
      </c>
      <c r="C8" s="37" t="s">
        <v>33</v>
      </c>
      <c r="D8" s="39" t="s">
        <v>34</v>
      </c>
      <c r="E8" s="4"/>
      <c r="F8" s="40" t="s">
        <v>35</v>
      </c>
      <c r="G8" s="6"/>
      <c r="H8" s="1"/>
    </row>
    <row r="9" ht="35.25" customHeight="1">
      <c r="A9" s="11"/>
      <c r="B9" s="11"/>
      <c r="C9" s="11"/>
      <c r="D9" s="42" t="s">
        <v>39</v>
      </c>
      <c r="E9" s="43" t="s">
        <v>40</v>
      </c>
      <c r="F9" s="44" t="s">
        <v>198</v>
      </c>
      <c r="G9" s="44" t="s">
        <v>43</v>
      </c>
      <c r="H9" s="1"/>
    </row>
    <row r="10" ht="88.5" customHeight="1">
      <c r="A10" s="34" t="str">
        <f>'Plan mejoramiento'!C10</f>
        <v>Continuar con estrategias para lograr que los resultados de la prueba Saber Pro sean mayores en todas las competencias ai promedio obtenido por los estudiantes
del grupo de referencia NBC.
</v>
      </c>
      <c r="B10" s="34" t="str">
        <f>'Plan mejoramiento'!G10</f>
        <v>Meta 1.
Mantener cinco (5) puntos por encima de los resultados de la prueba Saber Pro del grupo de referencia </v>
      </c>
      <c r="C10" s="45"/>
      <c r="D10" s="47"/>
      <c r="E10" s="49"/>
      <c r="F10" s="51"/>
      <c r="G10" s="51"/>
      <c r="H10" s="32"/>
    </row>
    <row r="11">
      <c r="A11" s="34" t="str">
        <f>'Plan mejoramiento'!C11</f>
        <v>Mantener la participación en las actividades de Bienestar de un porcentaje significativo de estudiantes del Programa en cada periodo, dada la importancia declarada por la institución, en el desarrollo integral y en la permanencia.</v>
      </c>
      <c r="B11" s="53" t="str">
        <f>'Plan mejoramiento'!G11</f>
        <v>Meta 2a.2b, 2c
Incrementar al 60% la participación de la comunidad del programa en actividades de bienestar institucional </v>
      </c>
      <c r="C11" s="54"/>
      <c r="D11" s="56"/>
      <c r="E11" s="58"/>
      <c r="F11" s="60"/>
      <c r="G11" s="60"/>
      <c r="H11" s="32"/>
    </row>
    <row r="12" ht="34.5" customHeight="1">
      <c r="A12" s="53" t="str">
        <f>'Plan mejoramiento'!C12</f>
        <v>Bajo porcentaje de profesores y administrativos en actividades de Bienestar</v>
      </c>
      <c r="B12" s="8"/>
      <c r="C12" s="8"/>
      <c r="D12" s="8"/>
      <c r="E12" s="8"/>
      <c r="F12" s="8"/>
      <c r="G12" s="8"/>
      <c r="H12" s="32"/>
    </row>
    <row r="13" ht="54.75" customHeight="1">
      <c r="A13" s="11"/>
      <c r="B13" s="11"/>
      <c r="C13" s="11"/>
      <c r="D13" s="11"/>
      <c r="E13" s="11"/>
      <c r="F13" s="11"/>
      <c r="G13" s="11"/>
      <c r="H13" s="32"/>
    </row>
    <row r="14">
      <c r="A14" s="34" t="str">
        <f>'Plan mejoramiento'!C14</f>
        <v>El número de profesores no es suficiente para las necesidades del programa en relación con el número de estudiantes.</v>
      </c>
      <c r="B14" s="34" t="str">
        <f>'Plan mejoramiento'!G14</f>
        <v>Meta 3.
Desarrollar una (1) convocatoria de planta docente </v>
      </c>
      <c r="C14" s="45"/>
      <c r="D14" s="47"/>
      <c r="E14" s="49"/>
      <c r="F14" s="51"/>
      <c r="G14" s="51"/>
      <c r="H14" s="32"/>
    </row>
    <row r="15">
      <c r="A15" s="34" t="str">
        <f>'Plan mejoramiento'!C15</f>
        <v>Los tiempos de dedicación a las funciones misionales no cumplen con lo establecido en los indicadores del programa.</v>
      </c>
      <c r="B15" s="34" t="str">
        <f>'Plan mejoramiento'!G15</f>
        <v>Meta 4.
Incrementar al 25% la asignación de tiempos de los docentes TC a la investigación</v>
      </c>
      <c r="C15" s="45"/>
      <c r="D15" s="47"/>
      <c r="E15" s="49"/>
      <c r="F15" s="51"/>
      <c r="G15" s="51"/>
      <c r="H15" s="32"/>
    </row>
    <row r="16">
      <c r="A16" s="34" t="str">
        <f>'Plan mejoramiento'!C16</f>
        <v/>
      </c>
      <c r="B16" s="34" t="str">
        <f>'Plan mejoramiento'!G16</f>
        <v>Meta 5.
Incrementar al 20% la asignación de tiempos de los docentes TC a la Proyección Social</v>
      </c>
      <c r="C16" s="45"/>
      <c r="D16" s="47"/>
      <c r="E16" s="49"/>
      <c r="F16" s="51"/>
      <c r="G16" s="51"/>
      <c r="H16" s="32"/>
    </row>
    <row r="17">
      <c r="A17" s="34" t="str">
        <f>'Plan mejoramiento'!C17</f>
        <v>Continuar con estrategias para aumentar el material de apoyo docente, su aplicación, y difusión.</v>
      </c>
      <c r="B17" s="34" t="str">
        <f>'Plan mejoramiento'!G17</f>
        <v>Meta 6.
Desarrollar una (1) estrategia anual para fomentar la productividad y el material de apoyo docente</v>
      </c>
      <c r="C17" s="45"/>
      <c r="D17" s="47"/>
      <c r="E17" s="49"/>
      <c r="F17" s="51"/>
      <c r="G17" s="51"/>
      <c r="H17" s="32"/>
    </row>
    <row r="18">
      <c r="A18" s="34" t="str">
        <f>'Plan mejoramiento'!C18</f>
        <v>El número de productos derivados de la participación de profesores, estudiantes y directivos del programa en redes u organismos nacionales e internacionales es bajo.</v>
      </c>
      <c r="B18" s="34" t="str">
        <f>'Plan mejoramiento'!G18</f>
        <v>Meta 7.
Incrementar al 30% la participación de los docentes en redes u organismos nacionales e internacionales para generar productos</v>
      </c>
      <c r="C18" s="45"/>
      <c r="D18" s="47"/>
      <c r="E18" s="49"/>
      <c r="F18" s="51"/>
      <c r="G18" s="51"/>
      <c r="H18" s="32"/>
    </row>
    <row r="19">
      <c r="A19" s="34" t="str">
        <f>'Plan mejoramiento'!C19</f>
        <v/>
      </c>
      <c r="B19" s="34" t="str">
        <f>'Plan mejoramiento'!G19</f>
        <v>Meta 8.
Desarrollar un (1) producto bienalmente como resultado de la articulación de redes académicas </v>
      </c>
      <c r="C19" s="45"/>
      <c r="D19" s="47"/>
      <c r="E19" s="49"/>
      <c r="F19" s="51"/>
      <c r="G19" s="51"/>
      <c r="H19" s="32"/>
    </row>
    <row r="20">
      <c r="A20" s="34" t="str">
        <f>'Plan mejoramiento'!C20</f>
        <v>Continuar promoviendo la movilidad entrante nacional e internacional y la saliente nacional</v>
      </c>
      <c r="B20" s="34" t="str">
        <f>'Plan mejoramiento'!G20</f>
        <v>Meta 9.
Realizar la movilidad de un (1) estudiante extranjero bienalmente</v>
      </c>
      <c r="C20" s="45"/>
      <c r="D20" s="47"/>
      <c r="E20" s="49"/>
      <c r="F20" s="51"/>
      <c r="G20" s="51"/>
      <c r="H20" s="32"/>
    </row>
    <row r="21" ht="140.25" customHeight="1">
      <c r="A21" s="34" t="str">
        <f>'Plan mejoramiento'!C21</f>
        <v>Aumentar la movilidad saliente de estudiantes del Programa en distintas modalidades. Aunque el Programa argumenta la reducción en este indicador, en la pandemia y el paro, es posible complementar estos resultados, estableciendo otras actividades en distintas modalidades con efectos en la visibilidad y la cooperación nacional e internacional.</v>
      </c>
      <c r="B21" s="34" t="str">
        <f>'Plan mejoramiento'!G21</f>
        <v>Meta 10.
Lograr que el 20% de estudiantes a partir del V semestre realicen movilidad saliente nacional o internacional anualmente </v>
      </c>
      <c r="C21" s="45"/>
      <c r="D21" s="47"/>
      <c r="E21" s="49"/>
      <c r="F21" s="51"/>
      <c r="G21" s="51"/>
      <c r="H21" s="32"/>
    </row>
    <row r="22" ht="108.75" customHeight="1">
      <c r="A22" s="34" t="str">
        <f>'Plan mejoramiento'!C22</f>
        <v>Persistir en acciones que permitan de manera efectiva continuar disminuyendo la deserción en el Programa. La tasa de deserción anual para 3 periodos entre 2019 y
2021 es superior al promedio nacional para nivel de formación.</v>
      </c>
      <c r="B22" s="34" t="str">
        <f>'Plan mejoramiento'!G22</f>
        <v>Meta 11.
Mantener un (1) digito la tasa deserción del programa </v>
      </c>
      <c r="C22" s="79"/>
      <c r="D22" s="47"/>
      <c r="E22" s="49"/>
      <c r="F22" s="51"/>
      <c r="G22" s="51"/>
      <c r="H22" s="32"/>
    </row>
    <row r="23" ht="148.5" customHeight="1">
      <c r="A23" s="34" t="str">
        <f>'Plan mejoramiento'!C23</f>
        <v>Continuar con la estrategia para lograr la graduación en el tiempo aprobado en el registro calificado. La tasa acumulada de graduación del Programa al semestre 13 es del 23.57% inferior al promedio nacional para el profesional universitario. Aunque es mejor con relación al proceso anterior de acreditación, aún hay una  Oportunidad de mejora significativa en el comparativo nacional con el promedio del nivel de formación.</v>
      </c>
      <c r="B23" s="34" t="str">
        <f>'Plan mejoramiento'!G23</f>
        <v>Meta 12. 
Mantener en 12,5 de semestres para la graduación</v>
      </c>
      <c r="C23" s="79"/>
      <c r="D23" s="47"/>
      <c r="E23" s="49"/>
      <c r="F23" s="51"/>
      <c r="G23" s="51"/>
      <c r="H23" s="32"/>
    </row>
    <row r="24" ht="80.25" customHeight="1">
      <c r="A24" s="34" t="str">
        <f>'Plan mejoramiento'!C24</f>
        <v>Continuar con estrategias y apoyos para mejorar la categoría de los grupos de
investigación y el reconocimiento de profesores como investigadores.</v>
      </c>
      <c r="B24" s="34" t="str">
        <f>'Plan mejoramiento'!G24</f>
        <v>Meta 13. 
Lograr que un (1) grupos de investigación suba de categoría</v>
      </c>
      <c r="C24" s="45"/>
      <c r="D24" s="47"/>
      <c r="E24" s="49"/>
      <c r="F24" s="51"/>
      <c r="G24" s="51"/>
      <c r="H24" s="32"/>
    </row>
    <row r="25" ht="60.75" customHeight="1">
      <c r="A25" s="34" t="str">
        <f>'Plan mejoramiento'!C25</f>
        <v>
Se requiere incrementar el número de registros de egresados en la base de datos</v>
      </c>
      <c r="B25" s="34" t="str">
        <f>'Plan mejoramiento'!G25</f>
        <v>Meta 14. 
Aumentar al 45% los registros actualizados de los egresados en la base de datos del Programa</v>
      </c>
      <c r="C25" s="79"/>
      <c r="D25" s="47"/>
      <c r="E25" s="49"/>
      <c r="F25" s="51"/>
      <c r="G25" s="51"/>
      <c r="H25" s="32"/>
    </row>
    <row r="26" ht="52.5" customHeight="1">
      <c r="A26" s="34" t="str">
        <f>'Plan mejoramiento'!C26</f>
        <v>Continuar robusteciendo la infraestructura de laboratorios y equipos disponibles para el Programa en las distintas líneas de profundización, tanto para la docencia,
coma para la investigación, y cumplir con el plan de mantenimiento y calibración de equipos de laboratorios de manera permanente.</v>
      </c>
      <c r="B26" s="34" t="str">
        <f>'Plan mejoramiento'!G26</f>
        <v>Meta 15. 
Construir un (1) complejo de laboratorios</v>
      </c>
      <c r="C26" s="79"/>
      <c r="D26" s="47"/>
      <c r="E26" s="49"/>
      <c r="F26" s="51"/>
      <c r="G26" s="51"/>
      <c r="H26" s="32"/>
    </row>
    <row r="27" ht="66.75" customHeight="1">
      <c r="A27" s="34" t="str">
        <f>'Plan mejoramiento'!C27</f>
        <v/>
      </c>
      <c r="B27" s="34" t="str">
        <f>'Plan mejoramiento'!G27</f>
        <v>Meta 16. 
Ejecutar el 100% del plan de adquisición de equipos de medios educativos para los laboratorios del Sistema de Gestión de Laboratorios.</v>
      </c>
      <c r="C27" s="79"/>
      <c r="D27" s="47"/>
      <c r="E27" s="49"/>
      <c r="F27" s="51"/>
      <c r="G27" s="51"/>
      <c r="H27" s="32"/>
    </row>
    <row r="28" ht="85.5" customHeight="1">
      <c r="A28" s="34" t="str">
        <f>'Plan mejoramiento'!C28</f>
        <v>Se requiere fortalecer el seguimiento de la medición de impacto que evidencie el desarrollo de las funciones misionales</v>
      </c>
      <c r="B28" s="34" t="str">
        <f>'Plan mejoramiento'!G28</f>
        <v>Meta 17. 
Obtener el nivel de cumplimiento mayor o igual al 80% en la medición del impacto</v>
      </c>
      <c r="C28" s="79"/>
      <c r="D28" s="47"/>
      <c r="E28" s="49"/>
      <c r="F28" s="51"/>
      <c r="G28" s="51"/>
      <c r="H28" s="32"/>
    </row>
  </sheetData>
  <mergeCells count="23">
    <mergeCell ref="F6:G6"/>
    <mergeCell ref="B7:E7"/>
    <mergeCell ref="D8:E8"/>
    <mergeCell ref="F8:G8"/>
    <mergeCell ref="A1:A3"/>
    <mergeCell ref="B1:G1"/>
    <mergeCell ref="B2:G2"/>
    <mergeCell ref="B3:C3"/>
    <mergeCell ref="E3:F3"/>
    <mergeCell ref="B4:E4"/>
    <mergeCell ref="F5:G5"/>
    <mergeCell ref="D11:D13"/>
    <mergeCell ref="E11:E13"/>
    <mergeCell ref="F11:F13"/>
    <mergeCell ref="G11:G13"/>
    <mergeCell ref="B5:C5"/>
    <mergeCell ref="B6:C6"/>
    <mergeCell ref="A8:A9"/>
    <mergeCell ref="B8:B9"/>
    <mergeCell ref="C8:C9"/>
    <mergeCell ref="B11:B13"/>
    <mergeCell ref="C11:C13"/>
    <mergeCell ref="A12:A13"/>
  </mergeCells>
  <conditionalFormatting sqref="C10:C28">
    <cfRule type="expression" dxfId="0" priority="1">
      <formula>$C$10=""</formula>
    </cfRule>
  </conditionalFormatting>
  <conditionalFormatting sqref="D10:D28">
    <cfRule type="expression" dxfId="0" priority="2">
      <formula>$D$10=""</formula>
    </cfRule>
  </conditionalFormatting>
  <conditionalFormatting sqref="E10:E28">
    <cfRule type="expression" dxfId="0" priority="3">
      <formula>$E$10=""</formula>
    </cfRule>
  </conditionalFormatting>
  <conditionalFormatting sqref="F10:G28">
    <cfRule type="expression" dxfId="1" priority="4">
      <formula>$F$10=""</formula>
    </cfRule>
  </conditionalFormatting>
  <conditionalFormatting sqref="C10:C28">
    <cfRule type="cellIs" dxfId="2" priority="5" operator="greaterThan">
      <formula>1</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0"/>
  <cols>
    <col customWidth="1" min="1" max="1" width="26.75"/>
    <col customWidth="1" min="2" max="2" width="34.25"/>
    <col customWidth="1" min="3" max="3" width="12.75"/>
    <col customWidth="1" min="4" max="4" width="48.63"/>
    <col customWidth="1" min="5" max="5" width="15.5"/>
    <col customWidth="1" min="6" max="6" width="24.88"/>
    <col customWidth="1" min="7" max="7" width="21.75"/>
    <col customWidth="1" min="8" max="8" width="1.13"/>
  </cols>
  <sheetData>
    <row r="1" ht="15.75" customHeight="1">
      <c r="A1" s="2"/>
      <c r="B1" s="3" t="s">
        <v>0</v>
      </c>
      <c r="C1" s="4"/>
      <c r="D1" s="4"/>
      <c r="E1" s="4"/>
      <c r="F1" s="4"/>
      <c r="G1" s="6"/>
      <c r="H1" s="7"/>
    </row>
    <row r="2" ht="15.75" customHeight="1">
      <c r="A2" s="8"/>
      <c r="B2" s="9" t="s">
        <v>1</v>
      </c>
      <c r="C2" s="4"/>
      <c r="D2" s="4"/>
      <c r="E2" s="4"/>
      <c r="F2" s="4"/>
      <c r="G2" s="6"/>
      <c r="H2" s="10"/>
    </row>
    <row r="3" ht="15.75" customHeight="1">
      <c r="A3" s="11"/>
      <c r="B3" s="12" t="s">
        <v>241</v>
      </c>
      <c r="C3" s="6"/>
      <c r="D3" s="13" t="s">
        <v>242</v>
      </c>
      <c r="E3" s="16" t="s">
        <v>243</v>
      </c>
      <c r="F3" s="6"/>
      <c r="G3" s="13" t="s">
        <v>244</v>
      </c>
      <c r="H3" s="10"/>
    </row>
    <row r="4" ht="2.25" customHeight="1">
      <c r="A4" s="5"/>
      <c r="B4" s="5"/>
      <c r="F4" s="5"/>
      <c r="G4" s="5"/>
      <c r="H4" s="5"/>
    </row>
    <row r="5">
      <c r="A5" s="18" t="s">
        <v>12</v>
      </c>
      <c r="B5" s="22" t="str">
        <f>IF('Plan mejoramiento'!B5="","",'Plan mejoramiento'!B5)</f>
        <v>De programa</v>
      </c>
      <c r="C5" s="6"/>
      <c r="D5" s="25" t="str">
        <f>IF('Plan mejoramiento'!E5="","",CONCATENATE('Plan mejoramiento'!D5," ",'Plan mejoramiento'!E5))</f>
        <v>Programa: Ingeniería Electrónica</v>
      </c>
      <c r="E5" s="26"/>
      <c r="F5" s="27"/>
      <c r="H5" s="1"/>
    </row>
    <row r="6">
      <c r="A6" s="18" t="str">
        <f>'Plan mejoramiento'!A6</f>
        <v>Facultad:</v>
      </c>
      <c r="B6" s="30" t="str">
        <f>'Plan mejoramiento'!B6</f>
        <v>Facultad de Ciencias Básicas e Ingeniería</v>
      </c>
      <c r="C6" s="31"/>
      <c r="D6" s="25" t="str">
        <f>IF('Plan mejoramiento'!J6="","",CONCATENATE('Plan mejoramiento'!J6," ",#REF!))</f>
        <v>#REF!</v>
      </c>
      <c r="E6" s="26"/>
      <c r="F6" s="27"/>
      <c r="H6" s="1"/>
    </row>
    <row r="7" ht="2.25" customHeight="1">
      <c r="A7" s="1"/>
      <c r="B7" s="1"/>
      <c r="F7" s="1"/>
      <c r="G7" s="1"/>
      <c r="H7" s="1"/>
    </row>
    <row r="8">
      <c r="A8" s="35" t="str">
        <f>'Plan mejoramiento'!C8</f>
        <v>Descripción de la oportunidad de mejora</v>
      </c>
      <c r="B8" s="35" t="str">
        <f>'Plan mejoramiento'!G8</f>
        <v>Meta de la oportunidad de mejora</v>
      </c>
      <c r="C8" s="37" t="s">
        <v>33</v>
      </c>
      <c r="D8" s="39" t="s">
        <v>34</v>
      </c>
      <c r="E8" s="4"/>
      <c r="F8" s="40" t="s">
        <v>35</v>
      </c>
      <c r="G8" s="6"/>
      <c r="H8" s="1"/>
    </row>
    <row r="9" ht="35.25" customHeight="1">
      <c r="A9" s="11"/>
      <c r="B9" s="11"/>
      <c r="C9" s="11"/>
      <c r="D9" s="42" t="s">
        <v>39</v>
      </c>
      <c r="E9" s="43" t="s">
        <v>40</v>
      </c>
      <c r="F9" s="44" t="s">
        <v>261</v>
      </c>
      <c r="G9" s="44" t="s">
        <v>43</v>
      </c>
      <c r="H9" s="1"/>
    </row>
    <row r="10" ht="88.5" customHeight="1">
      <c r="A10" s="34" t="str">
        <f>'Plan mejoramiento'!C10</f>
        <v>Continuar con estrategias para lograr que los resultados de la prueba Saber Pro sean mayores en todas las competencias ai promedio obtenido por los estudiantes
del grupo de referencia NBC.
</v>
      </c>
      <c r="B10" s="34" t="str">
        <f>'Plan mejoramiento'!G10</f>
        <v>Meta 1.
Mantener cinco (5) puntos por encima de los resultados de la prueba Saber Pro del grupo de referencia </v>
      </c>
      <c r="C10" s="45"/>
      <c r="D10" s="47"/>
      <c r="E10" s="49"/>
      <c r="F10" s="51"/>
      <c r="G10" s="51"/>
      <c r="H10" s="32"/>
    </row>
    <row r="11">
      <c r="A11" s="34" t="str">
        <f>'Plan mejoramiento'!C11</f>
        <v>Mantener la participación en las actividades de Bienestar de un porcentaje significativo de estudiantes del Programa en cada periodo, dada la importancia declarada por la institución, en el desarrollo integral y en la permanencia.</v>
      </c>
      <c r="B11" s="53" t="str">
        <f>'Plan mejoramiento'!G11</f>
        <v>Meta 2a.2b, 2c
Incrementar al 60% la participación de la comunidad del programa en actividades de bienestar institucional </v>
      </c>
      <c r="C11" s="54"/>
      <c r="D11" s="56"/>
      <c r="E11" s="58"/>
      <c r="F11" s="60"/>
      <c r="G11" s="60"/>
      <c r="H11" s="32"/>
    </row>
    <row r="12" ht="34.5" customHeight="1">
      <c r="A12" s="53" t="str">
        <f>'Plan mejoramiento'!C12</f>
        <v>Bajo porcentaje de profesores y administrativos en actividades de Bienestar</v>
      </c>
      <c r="B12" s="8"/>
      <c r="C12" s="8"/>
      <c r="D12" s="8"/>
      <c r="E12" s="8"/>
      <c r="F12" s="8"/>
      <c r="G12" s="8"/>
      <c r="H12" s="32"/>
    </row>
    <row r="13" ht="54.75" customHeight="1">
      <c r="A13" s="11"/>
      <c r="B13" s="11"/>
      <c r="C13" s="11"/>
      <c r="D13" s="11"/>
      <c r="E13" s="11"/>
      <c r="F13" s="11"/>
      <c r="G13" s="11"/>
      <c r="H13" s="32"/>
    </row>
    <row r="14">
      <c r="A14" s="34" t="str">
        <f>'Plan mejoramiento'!C14</f>
        <v>El número de profesores no es suficiente para las necesidades del programa en relación con el número de estudiantes.</v>
      </c>
      <c r="B14" s="34" t="str">
        <f>'Plan mejoramiento'!G14</f>
        <v>Meta 3.
Desarrollar una (1) convocatoria de planta docente </v>
      </c>
      <c r="C14" s="45"/>
      <c r="D14" s="47"/>
      <c r="E14" s="49"/>
      <c r="F14" s="51"/>
      <c r="G14" s="51"/>
      <c r="H14" s="32"/>
    </row>
    <row r="15">
      <c r="A15" s="34" t="str">
        <f>'Plan mejoramiento'!C15</f>
        <v>Los tiempos de dedicación a las funciones misionales no cumplen con lo establecido en los indicadores del programa.</v>
      </c>
      <c r="B15" s="34" t="str">
        <f>'Plan mejoramiento'!G15</f>
        <v>Meta 4.
Incrementar al 25% la asignación de tiempos de los docentes TC a la investigación</v>
      </c>
      <c r="C15" s="45"/>
      <c r="D15" s="47"/>
      <c r="E15" s="49"/>
      <c r="F15" s="51"/>
      <c r="G15" s="51"/>
      <c r="H15" s="32"/>
    </row>
    <row r="16">
      <c r="A16" s="34" t="str">
        <f>'Plan mejoramiento'!C16</f>
        <v/>
      </c>
      <c r="B16" s="34" t="str">
        <f>'Plan mejoramiento'!G16</f>
        <v>Meta 5.
Incrementar al 20% la asignación de tiempos de los docentes TC a la Proyección Social</v>
      </c>
      <c r="C16" s="45"/>
      <c r="D16" s="47"/>
      <c r="E16" s="49"/>
      <c r="F16" s="51"/>
      <c r="G16" s="51"/>
      <c r="H16" s="32"/>
    </row>
    <row r="17">
      <c r="A17" s="34" t="str">
        <f>'Plan mejoramiento'!C17</f>
        <v>Continuar con estrategias para aumentar el material de apoyo docente, su aplicación, y difusión.</v>
      </c>
      <c r="B17" s="34" t="str">
        <f>'Plan mejoramiento'!G17</f>
        <v>Meta 6.
Desarrollar una (1) estrategia anual para fomentar la productividad y el material de apoyo docente</v>
      </c>
      <c r="C17" s="45"/>
      <c r="D17" s="47"/>
      <c r="E17" s="49"/>
      <c r="F17" s="51"/>
      <c r="G17" s="51"/>
      <c r="H17" s="32"/>
    </row>
    <row r="18">
      <c r="A18" s="34" t="str">
        <f>'Plan mejoramiento'!C18</f>
        <v>El número de productos derivados de la participación de profesores, estudiantes y directivos del programa en redes u organismos nacionales e internacionales es bajo.</v>
      </c>
      <c r="B18" s="34" t="str">
        <f>'Plan mejoramiento'!G18</f>
        <v>Meta 7.
Incrementar al 30% la participación de los docentes en redes u organismos nacionales e internacionales para generar productos</v>
      </c>
      <c r="C18" s="45"/>
      <c r="D18" s="47"/>
      <c r="E18" s="49"/>
      <c r="F18" s="51"/>
      <c r="G18" s="51"/>
      <c r="H18" s="32"/>
    </row>
    <row r="19">
      <c r="A19" s="34" t="str">
        <f>'Plan mejoramiento'!C19</f>
        <v/>
      </c>
      <c r="B19" s="34" t="str">
        <f>'Plan mejoramiento'!G19</f>
        <v>Meta 8.
Desarrollar un (1) producto bienalmente como resultado de la articulación de redes académicas </v>
      </c>
      <c r="C19" s="45"/>
      <c r="D19" s="47"/>
      <c r="E19" s="49"/>
      <c r="F19" s="51"/>
      <c r="G19" s="51"/>
      <c r="H19" s="32"/>
    </row>
    <row r="20">
      <c r="A20" s="34" t="str">
        <f>'Plan mejoramiento'!C20</f>
        <v>Continuar promoviendo la movilidad entrante nacional e internacional y la saliente nacional</v>
      </c>
      <c r="B20" s="34" t="str">
        <f>'Plan mejoramiento'!G20</f>
        <v>Meta 9.
Realizar la movilidad de un (1) estudiante extranjero bienalmente</v>
      </c>
      <c r="C20" s="45"/>
      <c r="D20" s="47"/>
      <c r="E20" s="49"/>
      <c r="F20" s="51"/>
      <c r="G20" s="51"/>
      <c r="H20" s="32"/>
    </row>
    <row r="21" ht="140.25" customHeight="1">
      <c r="A21" s="34" t="str">
        <f>'Plan mejoramiento'!C21</f>
        <v>Aumentar la movilidad saliente de estudiantes del Programa en distintas modalidades. Aunque el Programa argumenta la reducción en este indicador, en la pandemia y el paro, es posible complementar estos resultados, estableciendo otras actividades en distintas modalidades con efectos en la visibilidad y la cooperación nacional e internacional.</v>
      </c>
      <c r="B21" s="34" t="str">
        <f>'Plan mejoramiento'!G21</f>
        <v>Meta 10.
Lograr que el 20% de estudiantes a partir del V semestre realicen movilidad saliente nacional o internacional anualmente </v>
      </c>
      <c r="C21" s="45"/>
      <c r="D21" s="47"/>
      <c r="E21" s="49"/>
      <c r="F21" s="51"/>
      <c r="G21" s="51"/>
      <c r="H21" s="32"/>
    </row>
    <row r="22" ht="108.75" customHeight="1">
      <c r="A22" s="34" t="str">
        <f>'Plan mejoramiento'!C22</f>
        <v>Persistir en acciones que permitan de manera efectiva continuar disminuyendo la deserción en el Programa. La tasa de deserción anual para 3 periodos entre 2019 y
2021 es superior al promedio nacional para nivel de formación.</v>
      </c>
      <c r="B22" s="34" t="str">
        <f>'Plan mejoramiento'!G22</f>
        <v>Meta 11.
Mantener un (1) digito la tasa deserción del programa </v>
      </c>
      <c r="C22" s="79"/>
      <c r="D22" s="47"/>
      <c r="E22" s="49"/>
      <c r="F22" s="51"/>
      <c r="G22" s="51"/>
      <c r="H22" s="32"/>
    </row>
    <row r="23" ht="148.5" customHeight="1">
      <c r="A23" s="34" t="str">
        <f>'Plan mejoramiento'!C23</f>
        <v>Continuar con la estrategia para lograr la graduación en el tiempo aprobado en el registro calificado. La tasa acumulada de graduación del Programa al semestre 13 es del 23.57% inferior al promedio nacional para el profesional universitario. Aunque es mejor con relación al proceso anterior de acreditación, aún hay una  Oportunidad de mejora significativa en el comparativo nacional con el promedio del nivel de formación.</v>
      </c>
      <c r="B23" s="34" t="str">
        <f>'Plan mejoramiento'!G23</f>
        <v>Meta 12. 
Mantener en 12,5 de semestres para la graduación</v>
      </c>
      <c r="C23" s="79"/>
      <c r="D23" s="47"/>
      <c r="E23" s="49"/>
      <c r="F23" s="51"/>
      <c r="G23" s="51"/>
      <c r="H23" s="32"/>
    </row>
    <row r="24" ht="80.25" customHeight="1">
      <c r="A24" s="34" t="str">
        <f>'Plan mejoramiento'!C24</f>
        <v>Continuar con estrategias y apoyos para mejorar la categoría de los grupos de
investigación y el reconocimiento de profesores como investigadores.</v>
      </c>
      <c r="B24" s="34" t="str">
        <f>'Plan mejoramiento'!G24</f>
        <v>Meta 13. 
Lograr que un (1) grupos de investigación suba de categoría</v>
      </c>
      <c r="C24" s="45"/>
      <c r="D24" s="47"/>
      <c r="E24" s="49"/>
      <c r="F24" s="51"/>
      <c r="G24" s="51"/>
      <c r="H24" s="32"/>
    </row>
    <row r="25" ht="60.75" customHeight="1">
      <c r="A25" s="34" t="str">
        <f>'Plan mejoramiento'!C25</f>
        <v>
Se requiere incrementar el número de registros de egresados en la base de datos</v>
      </c>
      <c r="B25" s="34" t="str">
        <f>'Plan mejoramiento'!G25</f>
        <v>Meta 14. 
Aumentar al 45% los registros actualizados de los egresados en la base de datos del Programa</v>
      </c>
      <c r="C25" s="79"/>
      <c r="D25" s="47"/>
      <c r="E25" s="49"/>
      <c r="F25" s="51"/>
      <c r="G25" s="51"/>
      <c r="H25" s="32"/>
    </row>
    <row r="26" ht="52.5" customHeight="1">
      <c r="A26" s="34" t="str">
        <f>'Plan mejoramiento'!C26</f>
        <v>Continuar robusteciendo la infraestructura de laboratorios y equipos disponibles para el Programa en las distintas líneas de profundización, tanto para la docencia,
coma para la investigación, y cumplir con el plan de mantenimiento y calibración de equipos de laboratorios de manera permanente.</v>
      </c>
      <c r="B26" s="34" t="str">
        <f>'Plan mejoramiento'!G26</f>
        <v>Meta 15. 
Construir un (1) complejo de laboratorios</v>
      </c>
      <c r="C26" s="79"/>
      <c r="D26" s="47"/>
      <c r="E26" s="49"/>
      <c r="F26" s="51"/>
      <c r="G26" s="51"/>
      <c r="H26" s="32"/>
    </row>
    <row r="27" ht="66.75" customHeight="1">
      <c r="A27" s="34" t="str">
        <f>'Plan mejoramiento'!C27</f>
        <v/>
      </c>
      <c r="B27" s="34" t="str">
        <f>'Plan mejoramiento'!G27</f>
        <v>Meta 16. 
Ejecutar el 100% del plan de adquisición de equipos de medios educativos para los laboratorios del Sistema de Gestión de Laboratorios.</v>
      </c>
      <c r="C27" s="79"/>
      <c r="D27" s="47"/>
      <c r="E27" s="49"/>
      <c r="F27" s="51"/>
      <c r="G27" s="51"/>
      <c r="H27" s="32"/>
    </row>
    <row r="28" ht="85.5" customHeight="1">
      <c r="A28" s="34" t="str">
        <f>'Plan mejoramiento'!C28</f>
        <v>Se requiere fortalecer el seguimiento de la medición de impacto que evidencie el desarrollo de las funciones misionales</v>
      </c>
      <c r="B28" s="34" t="str">
        <f>'Plan mejoramiento'!G28</f>
        <v>Meta 17. 
Obtener el nivel de cumplimiento mayor o igual al 80% en la medición del impacto</v>
      </c>
      <c r="C28" s="79"/>
      <c r="D28" s="47"/>
      <c r="E28" s="49"/>
      <c r="F28" s="51"/>
      <c r="G28" s="51"/>
      <c r="H28" s="32"/>
    </row>
  </sheetData>
  <mergeCells count="23">
    <mergeCell ref="F6:G6"/>
    <mergeCell ref="B7:E7"/>
    <mergeCell ref="D8:E8"/>
    <mergeCell ref="F8:G8"/>
    <mergeCell ref="A1:A3"/>
    <mergeCell ref="B1:G1"/>
    <mergeCell ref="B2:G2"/>
    <mergeCell ref="B3:C3"/>
    <mergeCell ref="E3:F3"/>
    <mergeCell ref="B4:E4"/>
    <mergeCell ref="F5:G5"/>
    <mergeCell ref="D11:D13"/>
    <mergeCell ref="E11:E13"/>
    <mergeCell ref="F11:F13"/>
    <mergeCell ref="G11:G13"/>
    <mergeCell ref="B5:C5"/>
    <mergeCell ref="B6:C6"/>
    <mergeCell ref="A8:A9"/>
    <mergeCell ref="B8:B9"/>
    <mergeCell ref="C8:C9"/>
    <mergeCell ref="B11:B13"/>
    <mergeCell ref="C11:C13"/>
    <mergeCell ref="A12:A13"/>
  </mergeCells>
  <conditionalFormatting sqref="C10:C28">
    <cfRule type="expression" dxfId="0" priority="1">
      <formula>$C$10=""</formula>
    </cfRule>
  </conditionalFormatting>
  <conditionalFormatting sqref="D10:D28">
    <cfRule type="expression" dxfId="0" priority="2">
      <formula>$D$10=""</formula>
    </cfRule>
  </conditionalFormatting>
  <conditionalFormatting sqref="E10:E28">
    <cfRule type="expression" dxfId="0" priority="3">
      <formula>$E$10=""</formula>
    </cfRule>
  </conditionalFormatting>
  <conditionalFormatting sqref="F10:G28">
    <cfRule type="expression" dxfId="1" priority="4">
      <formula>$F$10=""</formula>
    </cfRule>
  </conditionalFormatting>
  <conditionalFormatting sqref="C10:C28">
    <cfRule type="cellIs" dxfId="2" priority="5" operator="greaterThan">
      <formula>1</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0"/>
  <cols>
    <col customWidth="1" min="1" max="1" width="26.75"/>
    <col customWidth="1" min="2" max="2" width="34.25"/>
    <col customWidth="1" min="3" max="3" width="12.75"/>
    <col customWidth="1" min="4" max="4" width="48.63"/>
    <col customWidth="1" min="5" max="5" width="15.5"/>
    <col customWidth="1" min="6" max="6" width="24.88"/>
    <col customWidth="1" min="7" max="7" width="21.75"/>
    <col customWidth="1" min="8" max="8" width="1.13"/>
  </cols>
  <sheetData>
    <row r="1" ht="15.75" customHeight="1">
      <c r="A1" s="2"/>
      <c r="B1" s="3" t="s">
        <v>0</v>
      </c>
      <c r="C1" s="4"/>
      <c r="D1" s="4"/>
      <c r="E1" s="4"/>
      <c r="F1" s="4"/>
      <c r="G1" s="6"/>
      <c r="H1" s="7"/>
    </row>
    <row r="2" ht="15.75" customHeight="1">
      <c r="A2" s="8"/>
      <c r="B2" s="9" t="s">
        <v>1</v>
      </c>
      <c r="C2" s="4"/>
      <c r="D2" s="4"/>
      <c r="E2" s="4"/>
      <c r="F2" s="4"/>
      <c r="G2" s="6"/>
      <c r="H2" s="10"/>
    </row>
    <row r="3" ht="15.75" customHeight="1">
      <c r="A3" s="11"/>
      <c r="B3" s="12" t="s">
        <v>262</v>
      </c>
      <c r="C3" s="6"/>
      <c r="D3" s="13" t="s">
        <v>263</v>
      </c>
      <c r="E3" s="16" t="s">
        <v>264</v>
      </c>
      <c r="F3" s="6"/>
      <c r="G3" s="13" t="s">
        <v>265</v>
      </c>
      <c r="H3" s="10"/>
    </row>
    <row r="4" ht="2.25" customHeight="1">
      <c r="A4" s="5"/>
      <c r="B4" s="5"/>
      <c r="F4" s="5"/>
      <c r="G4" s="5"/>
      <c r="H4" s="5"/>
    </row>
    <row r="5">
      <c r="A5" s="18" t="s">
        <v>12</v>
      </c>
      <c r="B5" s="22" t="str">
        <f>IF('Plan mejoramiento'!B5="","",'Plan mejoramiento'!B5)</f>
        <v>De programa</v>
      </c>
      <c r="C5" s="6"/>
      <c r="D5" s="25" t="str">
        <f>IF('Plan mejoramiento'!E5="","",CONCATENATE('Plan mejoramiento'!D5," ",'Plan mejoramiento'!E5))</f>
        <v>Programa: Ingeniería Electrónica</v>
      </c>
      <c r="E5" s="26"/>
      <c r="F5" s="27"/>
      <c r="H5" s="1"/>
    </row>
    <row r="6">
      <c r="A6" s="18" t="str">
        <f>'Plan mejoramiento'!A6</f>
        <v>Facultad:</v>
      </c>
      <c r="B6" s="30" t="str">
        <f>'Plan mejoramiento'!B6</f>
        <v>Facultad de Ciencias Básicas e Ingeniería</v>
      </c>
      <c r="C6" s="31"/>
      <c r="D6" s="25" t="str">
        <f>IF('Plan mejoramiento'!J6="","",CONCATENATE('Plan mejoramiento'!J6," ",#REF!))</f>
        <v>#REF!</v>
      </c>
      <c r="E6" s="26"/>
      <c r="F6" s="27"/>
      <c r="H6" s="1"/>
    </row>
    <row r="7" ht="2.25" customHeight="1">
      <c r="A7" s="1"/>
      <c r="B7" s="1"/>
      <c r="F7" s="1"/>
      <c r="G7" s="1"/>
      <c r="H7" s="1"/>
    </row>
    <row r="8">
      <c r="A8" s="35" t="str">
        <f>'Plan mejoramiento'!C8</f>
        <v>Descripción de la oportunidad de mejora</v>
      </c>
      <c r="B8" s="35" t="str">
        <f>'Plan mejoramiento'!G8</f>
        <v>Meta de la oportunidad de mejora</v>
      </c>
      <c r="C8" s="37" t="s">
        <v>33</v>
      </c>
      <c r="D8" s="39" t="s">
        <v>34</v>
      </c>
      <c r="E8" s="4"/>
      <c r="F8" s="40" t="s">
        <v>35</v>
      </c>
      <c r="G8" s="6"/>
      <c r="H8" s="1"/>
    </row>
    <row r="9" ht="35.25" customHeight="1">
      <c r="A9" s="11"/>
      <c r="B9" s="11"/>
      <c r="C9" s="11"/>
      <c r="D9" s="42" t="s">
        <v>39</v>
      </c>
      <c r="E9" s="43" t="s">
        <v>40</v>
      </c>
      <c r="F9" s="44" t="s">
        <v>266</v>
      </c>
      <c r="G9" s="44" t="s">
        <v>43</v>
      </c>
      <c r="H9" s="1"/>
    </row>
    <row r="10" ht="88.5" customHeight="1">
      <c r="A10" s="34" t="str">
        <f>'Plan mejoramiento'!C10</f>
        <v>Continuar con estrategias para lograr que los resultados de la prueba Saber Pro sean mayores en todas las competencias ai promedio obtenido por los estudiantes
del grupo de referencia NBC.
</v>
      </c>
      <c r="B10" s="34" t="str">
        <f>'Plan mejoramiento'!G10</f>
        <v>Meta 1.
Mantener cinco (5) puntos por encima de los resultados de la prueba Saber Pro del grupo de referencia </v>
      </c>
      <c r="C10" s="45"/>
      <c r="D10" s="47"/>
      <c r="E10" s="49"/>
      <c r="F10" s="51"/>
      <c r="G10" s="51"/>
      <c r="H10" s="32"/>
    </row>
    <row r="11">
      <c r="A11" s="34" t="str">
        <f>'Plan mejoramiento'!C11</f>
        <v>Mantener la participación en las actividades de Bienestar de un porcentaje significativo de estudiantes del Programa en cada periodo, dada la importancia declarada por la institución, en el desarrollo integral y en la permanencia.</v>
      </c>
      <c r="B11" s="53" t="str">
        <f>'Plan mejoramiento'!G11</f>
        <v>Meta 2a.2b, 2c
Incrementar al 60% la participación de la comunidad del programa en actividades de bienestar institucional </v>
      </c>
      <c r="C11" s="54"/>
      <c r="D11" s="56"/>
      <c r="E11" s="58"/>
      <c r="F11" s="60"/>
      <c r="G11" s="60"/>
      <c r="H11" s="32"/>
    </row>
    <row r="12" ht="34.5" customHeight="1">
      <c r="A12" s="53" t="str">
        <f>'Plan mejoramiento'!C12</f>
        <v>Bajo porcentaje de profesores y administrativos en actividades de Bienestar</v>
      </c>
      <c r="B12" s="8"/>
      <c r="C12" s="8"/>
      <c r="D12" s="8"/>
      <c r="E12" s="8"/>
      <c r="F12" s="8"/>
      <c r="G12" s="8"/>
      <c r="H12" s="32"/>
    </row>
    <row r="13" ht="54.75" customHeight="1">
      <c r="A13" s="11"/>
      <c r="B13" s="11"/>
      <c r="C13" s="11"/>
      <c r="D13" s="11"/>
      <c r="E13" s="11"/>
      <c r="F13" s="11"/>
      <c r="G13" s="11"/>
      <c r="H13" s="32"/>
    </row>
    <row r="14">
      <c r="A14" s="34" t="str">
        <f>'Plan mejoramiento'!C14</f>
        <v>El número de profesores no es suficiente para las necesidades del programa en relación con el número de estudiantes.</v>
      </c>
      <c r="B14" s="34" t="str">
        <f>'Plan mejoramiento'!G14</f>
        <v>Meta 3.
Desarrollar una (1) convocatoria de planta docente </v>
      </c>
      <c r="C14" s="45"/>
      <c r="D14" s="47"/>
      <c r="E14" s="49"/>
      <c r="F14" s="51"/>
      <c r="G14" s="51"/>
      <c r="H14" s="32"/>
    </row>
    <row r="15">
      <c r="A15" s="34" t="str">
        <f>'Plan mejoramiento'!C15</f>
        <v>Los tiempos de dedicación a las funciones misionales no cumplen con lo establecido en los indicadores del programa.</v>
      </c>
      <c r="B15" s="34" t="str">
        <f>'Plan mejoramiento'!G15</f>
        <v>Meta 4.
Incrementar al 25% la asignación de tiempos de los docentes TC a la investigación</v>
      </c>
      <c r="C15" s="45"/>
      <c r="D15" s="47"/>
      <c r="E15" s="49"/>
      <c r="F15" s="51"/>
      <c r="G15" s="51"/>
      <c r="H15" s="32"/>
    </row>
    <row r="16">
      <c r="A16" s="34" t="str">
        <f>'Plan mejoramiento'!C16</f>
        <v/>
      </c>
      <c r="B16" s="34" t="str">
        <f>'Plan mejoramiento'!G16</f>
        <v>Meta 5.
Incrementar al 20% la asignación de tiempos de los docentes TC a la Proyección Social</v>
      </c>
      <c r="C16" s="45"/>
      <c r="D16" s="47"/>
      <c r="E16" s="49"/>
      <c r="F16" s="51"/>
      <c r="G16" s="51"/>
      <c r="H16" s="32"/>
    </row>
    <row r="17">
      <c r="A17" s="34" t="str">
        <f>'Plan mejoramiento'!C17</f>
        <v>Continuar con estrategias para aumentar el material de apoyo docente, su aplicación, y difusión.</v>
      </c>
      <c r="B17" s="34" t="str">
        <f>'Plan mejoramiento'!G17</f>
        <v>Meta 6.
Desarrollar una (1) estrategia anual para fomentar la productividad y el material de apoyo docente</v>
      </c>
      <c r="C17" s="45"/>
      <c r="D17" s="47"/>
      <c r="E17" s="49"/>
      <c r="F17" s="51"/>
      <c r="G17" s="51"/>
      <c r="H17" s="32"/>
    </row>
    <row r="18">
      <c r="A18" s="34" t="str">
        <f>'Plan mejoramiento'!C18</f>
        <v>El número de productos derivados de la participación de profesores, estudiantes y directivos del programa en redes u organismos nacionales e internacionales es bajo.</v>
      </c>
      <c r="B18" s="34" t="str">
        <f>'Plan mejoramiento'!G18</f>
        <v>Meta 7.
Incrementar al 30% la participación de los docentes en redes u organismos nacionales e internacionales para generar productos</v>
      </c>
      <c r="C18" s="45"/>
      <c r="D18" s="47"/>
      <c r="E18" s="49"/>
      <c r="F18" s="51"/>
      <c r="G18" s="51"/>
      <c r="H18" s="32"/>
    </row>
    <row r="19">
      <c r="A19" s="34" t="str">
        <f>'Plan mejoramiento'!C19</f>
        <v/>
      </c>
      <c r="B19" s="34" t="str">
        <f>'Plan mejoramiento'!G19</f>
        <v>Meta 8.
Desarrollar un (1) producto bienalmente como resultado de la articulación de redes académicas </v>
      </c>
      <c r="C19" s="45"/>
      <c r="D19" s="47"/>
      <c r="E19" s="49"/>
      <c r="F19" s="51"/>
      <c r="G19" s="51"/>
      <c r="H19" s="32"/>
    </row>
    <row r="20">
      <c r="A20" s="34" t="str">
        <f>'Plan mejoramiento'!C20</f>
        <v>Continuar promoviendo la movilidad entrante nacional e internacional y la saliente nacional</v>
      </c>
      <c r="B20" s="34" t="str">
        <f>'Plan mejoramiento'!G20</f>
        <v>Meta 9.
Realizar la movilidad de un (1) estudiante extranjero bienalmente</v>
      </c>
      <c r="C20" s="45"/>
      <c r="D20" s="47"/>
      <c r="E20" s="49"/>
      <c r="F20" s="51"/>
      <c r="G20" s="51"/>
      <c r="H20" s="32"/>
    </row>
    <row r="21" ht="140.25" customHeight="1">
      <c r="A21" s="34" t="str">
        <f>'Plan mejoramiento'!C21</f>
        <v>Aumentar la movilidad saliente de estudiantes del Programa en distintas modalidades. Aunque el Programa argumenta la reducción en este indicador, en la pandemia y el paro, es posible complementar estos resultados, estableciendo otras actividades en distintas modalidades con efectos en la visibilidad y la cooperación nacional e internacional.</v>
      </c>
      <c r="B21" s="34" t="str">
        <f>'Plan mejoramiento'!G21</f>
        <v>Meta 10.
Lograr que el 20% de estudiantes a partir del V semestre realicen movilidad saliente nacional o internacional anualmente </v>
      </c>
      <c r="C21" s="45"/>
      <c r="D21" s="47"/>
      <c r="E21" s="49"/>
      <c r="F21" s="51"/>
      <c r="G21" s="51"/>
      <c r="H21" s="32"/>
    </row>
    <row r="22" ht="108.75" customHeight="1">
      <c r="A22" s="34" t="str">
        <f>'Plan mejoramiento'!C22</f>
        <v>Persistir en acciones que permitan de manera efectiva continuar disminuyendo la deserción en el Programa. La tasa de deserción anual para 3 periodos entre 2019 y
2021 es superior al promedio nacional para nivel de formación.</v>
      </c>
      <c r="B22" s="34" t="str">
        <f>'Plan mejoramiento'!G22</f>
        <v>Meta 11.
Mantener un (1) digito la tasa deserción del programa </v>
      </c>
      <c r="C22" s="79"/>
      <c r="D22" s="47"/>
      <c r="E22" s="49"/>
      <c r="F22" s="51"/>
      <c r="G22" s="51"/>
      <c r="H22" s="32"/>
    </row>
    <row r="23" ht="148.5" customHeight="1">
      <c r="A23" s="34" t="str">
        <f>'Plan mejoramiento'!C23</f>
        <v>Continuar con la estrategia para lograr la graduación en el tiempo aprobado en el registro calificado. La tasa acumulada de graduación del Programa al semestre 13 es del 23.57% inferior al promedio nacional para el profesional universitario. Aunque es mejor con relación al proceso anterior de acreditación, aún hay una  Oportunidad de mejora significativa en el comparativo nacional con el promedio del nivel de formación.</v>
      </c>
      <c r="B23" s="34" t="str">
        <f>'Plan mejoramiento'!G23</f>
        <v>Meta 12. 
Mantener en 12,5 de semestres para la graduación</v>
      </c>
      <c r="C23" s="79"/>
      <c r="D23" s="47"/>
      <c r="E23" s="49"/>
      <c r="F23" s="51"/>
      <c r="G23" s="51"/>
      <c r="H23" s="32"/>
    </row>
    <row r="24" ht="80.25" customHeight="1">
      <c r="A24" s="34" t="str">
        <f>'Plan mejoramiento'!C24</f>
        <v>Continuar con estrategias y apoyos para mejorar la categoría de los grupos de
investigación y el reconocimiento de profesores como investigadores.</v>
      </c>
      <c r="B24" s="34" t="str">
        <f>'Plan mejoramiento'!G24</f>
        <v>Meta 13. 
Lograr que un (1) grupos de investigación suba de categoría</v>
      </c>
      <c r="C24" s="45"/>
      <c r="D24" s="47"/>
      <c r="E24" s="49"/>
      <c r="F24" s="51"/>
      <c r="G24" s="51"/>
      <c r="H24" s="32"/>
    </row>
    <row r="25" ht="60.75" customHeight="1">
      <c r="A25" s="34" t="str">
        <f>'Plan mejoramiento'!C25</f>
        <v>
Se requiere incrementar el número de registros de egresados en la base de datos</v>
      </c>
      <c r="B25" s="34" t="str">
        <f>'Plan mejoramiento'!G25</f>
        <v>Meta 14. 
Aumentar al 45% los registros actualizados de los egresados en la base de datos del Programa</v>
      </c>
      <c r="C25" s="79"/>
      <c r="D25" s="47"/>
      <c r="E25" s="49"/>
      <c r="F25" s="51"/>
      <c r="G25" s="51"/>
      <c r="H25" s="32"/>
    </row>
    <row r="26" ht="52.5" customHeight="1">
      <c r="A26" s="34" t="str">
        <f>'Plan mejoramiento'!C26</f>
        <v>Continuar robusteciendo la infraestructura de laboratorios y equipos disponibles para el Programa en las distintas líneas de profundización, tanto para la docencia,
coma para la investigación, y cumplir con el plan de mantenimiento y calibración de equipos de laboratorios de manera permanente.</v>
      </c>
      <c r="B26" s="34" t="str">
        <f>'Plan mejoramiento'!G26</f>
        <v>Meta 15. 
Construir un (1) complejo de laboratorios</v>
      </c>
      <c r="C26" s="79"/>
      <c r="D26" s="47"/>
      <c r="E26" s="49"/>
      <c r="F26" s="51"/>
      <c r="G26" s="51"/>
      <c r="H26" s="32"/>
    </row>
    <row r="27" ht="66.75" customHeight="1">
      <c r="A27" s="34" t="str">
        <f>'Plan mejoramiento'!C27</f>
        <v/>
      </c>
      <c r="B27" s="34" t="str">
        <f>'Plan mejoramiento'!G27</f>
        <v>Meta 16. 
Ejecutar el 100% del plan de adquisición de equipos de medios educativos para los laboratorios del Sistema de Gestión de Laboratorios.</v>
      </c>
      <c r="C27" s="79"/>
      <c r="D27" s="47"/>
      <c r="E27" s="49"/>
      <c r="F27" s="51"/>
      <c r="G27" s="51"/>
      <c r="H27" s="32"/>
    </row>
    <row r="28" ht="85.5" customHeight="1">
      <c r="A28" s="34" t="str">
        <f>'Plan mejoramiento'!C28</f>
        <v>Se requiere fortalecer el seguimiento de la medición de impacto que evidencie el desarrollo de las funciones misionales</v>
      </c>
      <c r="B28" s="34" t="str">
        <f>'Plan mejoramiento'!G28</f>
        <v>Meta 17. 
Obtener el nivel de cumplimiento mayor o igual al 80% en la medición del impacto</v>
      </c>
      <c r="C28" s="79"/>
      <c r="D28" s="47"/>
      <c r="E28" s="49"/>
      <c r="F28" s="51"/>
      <c r="G28" s="51"/>
      <c r="H28" s="32"/>
    </row>
  </sheetData>
  <mergeCells count="23">
    <mergeCell ref="F6:G6"/>
    <mergeCell ref="B7:E7"/>
    <mergeCell ref="D8:E8"/>
    <mergeCell ref="F8:G8"/>
    <mergeCell ref="A1:A3"/>
    <mergeCell ref="B1:G1"/>
    <mergeCell ref="B2:G2"/>
    <mergeCell ref="B3:C3"/>
    <mergeCell ref="E3:F3"/>
    <mergeCell ref="B4:E4"/>
    <mergeCell ref="F5:G5"/>
    <mergeCell ref="D11:D13"/>
    <mergeCell ref="E11:E13"/>
    <mergeCell ref="F11:F13"/>
    <mergeCell ref="G11:G13"/>
    <mergeCell ref="B5:C5"/>
    <mergeCell ref="B6:C6"/>
    <mergeCell ref="A8:A9"/>
    <mergeCell ref="B8:B9"/>
    <mergeCell ref="C8:C9"/>
    <mergeCell ref="B11:B13"/>
    <mergeCell ref="C11:C13"/>
    <mergeCell ref="A12:A13"/>
  </mergeCells>
  <conditionalFormatting sqref="C10:C28">
    <cfRule type="expression" dxfId="0" priority="1">
      <formula>$C$10=""</formula>
    </cfRule>
  </conditionalFormatting>
  <conditionalFormatting sqref="D10:D28">
    <cfRule type="expression" dxfId="0" priority="2">
      <formula>$D$10=""</formula>
    </cfRule>
  </conditionalFormatting>
  <conditionalFormatting sqref="E10:E28">
    <cfRule type="expression" dxfId="0" priority="3">
      <formula>$E$10=""</formula>
    </cfRule>
  </conditionalFormatting>
  <conditionalFormatting sqref="F10:G28">
    <cfRule type="expression" dxfId="1" priority="4">
      <formula>$F$10=""</formula>
    </cfRule>
  </conditionalFormatting>
  <conditionalFormatting sqref="C10:C28">
    <cfRule type="cellIs" dxfId="2" priority="5" operator="greaterThan">
      <formula>1</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0"/>
  <cols>
    <col customWidth="1" min="1" max="1" width="26.75"/>
    <col customWidth="1" min="2" max="2" width="34.25"/>
    <col customWidth="1" min="3" max="3" width="12.75"/>
    <col customWidth="1" min="4" max="4" width="48.63"/>
    <col customWidth="1" min="5" max="5" width="15.5"/>
    <col customWidth="1" min="6" max="6" width="24.88"/>
    <col customWidth="1" min="7" max="7" width="21.75"/>
    <col customWidth="1" min="8" max="8" width="1.13"/>
  </cols>
  <sheetData>
    <row r="1" ht="15.75" customHeight="1">
      <c r="A1" s="2"/>
      <c r="B1" s="3" t="s">
        <v>0</v>
      </c>
      <c r="C1" s="4"/>
      <c r="D1" s="4"/>
      <c r="E1" s="4"/>
      <c r="F1" s="4"/>
      <c r="G1" s="6"/>
      <c r="H1" s="7"/>
    </row>
    <row r="2" ht="15.75" customHeight="1">
      <c r="A2" s="8"/>
      <c r="B2" s="9" t="s">
        <v>1</v>
      </c>
      <c r="C2" s="4"/>
      <c r="D2" s="4"/>
      <c r="E2" s="4"/>
      <c r="F2" s="4"/>
      <c r="G2" s="6"/>
      <c r="H2" s="10"/>
    </row>
    <row r="3" ht="15.75" customHeight="1">
      <c r="A3" s="11"/>
      <c r="B3" s="12" t="s">
        <v>267</v>
      </c>
      <c r="C3" s="6"/>
      <c r="D3" s="13" t="s">
        <v>268</v>
      </c>
      <c r="E3" s="16" t="s">
        <v>269</v>
      </c>
      <c r="F3" s="6"/>
      <c r="G3" s="13" t="s">
        <v>270</v>
      </c>
      <c r="H3" s="10"/>
    </row>
    <row r="4" ht="2.25" customHeight="1">
      <c r="A4" s="5"/>
      <c r="B4" s="5"/>
      <c r="F4" s="5"/>
      <c r="G4" s="5"/>
      <c r="H4" s="5"/>
    </row>
    <row r="5">
      <c r="A5" s="18" t="s">
        <v>12</v>
      </c>
      <c r="B5" s="22" t="str">
        <f>IF('Plan mejoramiento'!B5="","",'Plan mejoramiento'!B5)</f>
        <v>De programa</v>
      </c>
      <c r="C5" s="6"/>
      <c r="D5" s="25" t="str">
        <f>IF('Plan mejoramiento'!E5="","",CONCATENATE('Plan mejoramiento'!D5," ",'Plan mejoramiento'!E5))</f>
        <v>Programa: Ingeniería Electrónica</v>
      </c>
      <c r="E5" s="26"/>
      <c r="F5" s="27"/>
      <c r="H5" s="1"/>
    </row>
    <row r="6">
      <c r="A6" s="18" t="str">
        <f>'Plan mejoramiento'!A6</f>
        <v>Facultad:</v>
      </c>
      <c r="B6" s="30" t="str">
        <f>'Plan mejoramiento'!B6</f>
        <v>Facultad de Ciencias Básicas e Ingeniería</v>
      </c>
      <c r="C6" s="31"/>
      <c r="D6" s="25" t="str">
        <f>IF('Plan mejoramiento'!J6="","",CONCATENATE('Plan mejoramiento'!J6," ",#REF!))</f>
        <v>#REF!</v>
      </c>
      <c r="E6" s="26"/>
      <c r="F6" s="27"/>
      <c r="H6" s="1"/>
    </row>
    <row r="7" ht="2.25" customHeight="1">
      <c r="A7" s="1"/>
      <c r="B7" s="1"/>
      <c r="F7" s="1"/>
      <c r="G7" s="1"/>
      <c r="H7" s="1"/>
    </row>
    <row r="8">
      <c r="A8" s="35" t="str">
        <f>'Plan mejoramiento'!C8</f>
        <v>Descripción de la oportunidad de mejora</v>
      </c>
      <c r="B8" s="35" t="str">
        <f>'Plan mejoramiento'!G8</f>
        <v>Meta de la oportunidad de mejora</v>
      </c>
      <c r="C8" s="37" t="s">
        <v>33</v>
      </c>
      <c r="D8" s="39" t="s">
        <v>34</v>
      </c>
      <c r="E8" s="4"/>
      <c r="F8" s="40" t="s">
        <v>35</v>
      </c>
      <c r="G8" s="6"/>
      <c r="H8" s="1"/>
    </row>
    <row r="9" ht="35.25" customHeight="1">
      <c r="A9" s="11"/>
      <c r="B9" s="11"/>
      <c r="C9" s="11"/>
      <c r="D9" s="42" t="s">
        <v>39</v>
      </c>
      <c r="E9" s="43" t="s">
        <v>40</v>
      </c>
      <c r="F9" s="44" t="s">
        <v>271</v>
      </c>
      <c r="G9" s="44" t="s">
        <v>43</v>
      </c>
      <c r="H9" s="1"/>
    </row>
    <row r="10" ht="88.5" customHeight="1">
      <c r="A10" s="34" t="str">
        <f>'Plan mejoramiento'!C10</f>
        <v>Continuar con estrategias para lograr que los resultados de la prueba Saber Pro sean mayores en todas las competencias ai promedio obtenido por los estudiantes
del grupo de referencia NBC.
</v>
      </c>
      <c r="B10" s="34" t="str">
        <f>'Plan mejoramiento'!G10</f>
        <v>Meta 1.
Mantener cinco (5) puntos por encima de los resultados de la prueba Saber Pro del grupo de referencia </v>
      </c>
      <c r="C10" s="45"/>
      <c r="D10" s="47"/>
      <c r="E10" s="49"/>
      <c r="F10" s="51"/>
      <c r="G10" s="51"/>
      <c r="H10" s="32"/>
    </row>
    <row r="11">
      <c r="A11" s="34" t="str">
        <f>'Plan mejoramiento'!C11</f>
        <v>Mantener la participación en las actividades de Bienestar de un porcentaje significativo de estudiantes del Programa en cada periodo, dada la importancia declarada por la institución, en el desarrollo integral y en la permanencia.</v>
      </c>
      <c r="B11" s="53" t="str">
        <f>'Plan mejoramiento'!G11</f>
        <v>Meta 2a.2b, 2c
Incrementar al 60% la participación de la comunidad del programa en actividades de bienestar institucional </v>
      </c>
      <c r="C11" s="54"/>
      <c r="D11" s="56"/>
      <c r="E11" s="58"/>
      <c r="F11" s="60"/>
      <c r="G11" s="60"/>
      <c r="H11" s="32"/>
    </row>
    <row r="12" ht="34.5" customHeight="1">
      <c r="A12" s="53" t="str">
        <f>'Plan mejoramiento'!C12</f>
        <v>Bajo porcentaje de profesores y administrativos en actividades de Bienestar</v>
      </c>
      <c r="B12" s="8"/>
      <c r="C12" s="8"/>
      <c r="D12" s="8"/>
      <c r="E12" s="8"/>
      <c r="F12" s="8"/>
      <c r="G12" s="8"/>
      <c r="H12" s="32"/>
    </row>
    <row r="13" ht="54.75" customHeight="1">
      <c r="A13" s="11"/>
      <c r="B13" s="11"/>
      <c r="C13" s="11"/>
      <c r="D13" s="11"/>
      <c r="E13" s="11"/>
      <c r="F13" s="11"/>
      <c r="G13" s="11"/>
      <c r="H13" s="32"/>
    </row>
    <row r="14">
      <c r="A14" s="34" t="str">
        <f>'Plan mejoramiento'!C14</f>
        <v>El número de profesores no es suficiente para las necesidades del programa en relación con el número de estudiantes.</v>
      </c>
      <c r="B14" s="34" t="str">
        <f>'Plan mejoramiento'!G14</f>
        <v>Meta 3.
Desarrollar una (1) convocatoria de planta docente </v>
      </c>
      <c r="C14" s="45"/>
      <c r="D14" s="47"/>
      <c r="E14" s="49"/>
      <c r="F14" s="51"/>
      <c r="G14" s="51"/>
      <c r="H14" s="32"/>
    </row>
    <row r="15">
      <c r="A15" s="34" t="str">
        <f>'Plan mejoramiento'!C15</f>
        <v>Los tiempos de dedicación a las funciones misionales no cumplen con lo establecido en los indicadores del programa.</v>
      </c>
      <c r="B15" s="34" t="str">
        <f>'Plan mejoramiento'!G15</f>
        <v>Meta 4.
Incrementar al 25% la asignación de tiempos de los docentes TC a la investigación</v>
      </c>
      <c r="C15" s="45"/>
      <c r="D15" s="47"/>
      <c r="E15" s="49"/>
      <c r="F15" s="51"/>
      <c r="G15" s="51"/>
      <c r="H15" s="32"/>
    </row>
    <row r="16">
      <c r="A16" s="34" t="str">
        <f>'Plan mejoramiento'!C16</f>
        <v/>
      </c>
      <c r="B16" s="34" t="str">
        <f>'Plan mejoramiento'!G16</f>
        <v>Meta 5.
Incrementar al 20% la asignación de tiempos de los docentes TC a la Proyección Social</v>
      </c>
      <c r="C16" s="45"/>
      <c r="D16" s="47"/>
      <c r="E16" s="49"/>
      <c r="F16" s="51"/>
      <c r="G16" s="51"/>
      <c r="H16" s="32"/>
    </row>
    <row r="17">
      <c r="A17" s="34" t="str">
        <f>'Plan mejoramiento'!C17</f>
        <v>Continuar con estrategias para aumentar el material de apoyo docente, su aplicación, y difusión.</v>
      </c>
      <c r="B17" s="34" t="str">
        <f>'Plan mejoramiento'!G17</f>
        <v>Meta 6.
Desarrollar una (1) estrategia anual para fomentar la productividad y el material de apoyo docente</v>
      </c>
      <c r="C17" s="45"/>
      <c r="D17" s="47"/>
      <c r="E17" s="49"/>
      <c r="F17" s="51"/>
      <c r="G17" s="51"/>
      <c r="H17" s="32"/>
    </row>
    <row r="18">
      <c r="A18" s="34" t="str">
        <f>'Plan mejoramiento'!C18</f>
        <v>El número de productos derivados de la participación de profesores, estudiantes y directivos del programa en redes u organismos nacionales e internacionales es bajo.</v>
      </c>
      <c r="B18" s="34" t="str">
        <f>'Plan mejoramiento'!G18</f>
        <v>Meta 7.
Incrementar al 30% la participación de los docentes en redes u organismos nacionales e internacionales para generar productos</v>
      </c>
      <c r="C18" s="45"/>
      <c r="D18" s="47"/>
      <c r="E18" s="49"/>
      <c r="F18" s="51"/>
      <c r="G18" s="51"/>
      <c r="H18" s="32"/>
    </row>
    <row r="19">
      <c r="A19" s="34" t="str">
        <f>'Plan mejoramiento'!C19</f>
        <v/>
      </c>
      <c r="B19" s="34" t="str">
        <f>'Plan mejoramiento'!G19</f>
        <v>Meta 8.
Desarrollar un (1) producto bienalmente como resultado de la articulación de redes académicas </v>
      </c>
      <c r="C19" s="45"/>
      <c r="D19" s="47"/>
      <c r="E19" s="49"/>
      <c r="F19" s="51"/>
      <c r="G19" s="51"/>
      <c r="H19" s="32"/>
    </row>
    <row r="20">
      <c r="A20" s="34" t="str">
        <f>'Plan mejoramiento'!C20</f>
        <v>Continuar promoviendo la movilidad entrante nacional e internacional y la saliente nacional</v>
      </c>
      <c r="B20" s="34" t="str">
        <f>'Plan mejoramiento'!G20</f>
        <v>Meta 9.
Realizar la movilidad de un (1) estudiante extranjero bienalmente</v>
      </c>
      <c r="C20" s="45"/>
      <c r="D20" s="47"/>
      <c r="E20" s="49"/>
      <c r="F20" s="51"/>
      <c r="G20" s="51"/>
      <c r="H20" s="32"/>
    </row>
    <row r="21" ht="140.25" customHeight="1">
      <c r="A21" s="34" t="str">
        <f>'Plan mejoramiento'!C21</f>
        <v>Aumentar la movilidad saliente de estudiantes del Programa en distintas modalidades. Aunque el Programa argumenta la reducción en este indicador, en la pandemia y el paro, es posible complementar estos resultados, estableciendo otras actividades en distintas modalidades con efectos en la visibilidad y la cooperación nacional e internacional.</v>
      </c>
      <c r="B21" s="34" t="str">
        <f>'Plan mejoramiento'!G21</f>
        <v>Meta 10.
Lograr que el 20% de estudiantes a partir del V semestre realicen movilidad saliente nacional o internacional anualmente </v>
      </c>
      <c r="C21" s="45"/>
      <c r="D21" s="47"/>
      <c r="E21" s="49"/>
      <c r="F21" s="51"/>
      <c r="G21" s="51"/>
      <c r="H21" s="32"/>
    </row>
    <row r="22" ht="108.75" customHeight="1">
      <c r="A22" s="34" t="str">
        <f>'Plan mejoramiento'!C22</f>
        <v>Persistir en acciones que permitan de manera efectiva continuar disminuyendo la deserción en el Programa. La tasa de deserción anual para 3 periodos entre 2019 y
2021 es superior al promedio nacional para nivel de formación.</v>
      </c>
      <c r="B22" s="34" t="str">
        <f>'Plan mejoramiento'!G22</f>
        <v>Meta 11.
Mantener un (1) digito la tasa deserción del programa </v>
      </c>
      <c r="C22" s="79"/>
      <c r="D22" s="47"/>
      <c r="E22" s="49"/>
      <c r="F22" s="51"/>
      <c r="G22" s="51"/>
      <c r="H22" s="32"/>
    </row>
    <row r="23" ht="148.5" customHeight="1">
      <c r="A23" s="34" t="str">
        <f>'Plan mejoramiento'!C23</f>
        <v>Continuar con la estrategia para lograr la graduación en el tiempo aprobado en el registro calificado. La tasa acumulada de graduación del Programa al semestre 13 es del 23.57% inferior al promedio nacional para el profesional universitario. Aunque es mejor con relación al proceso anterior de acreditación, aún hay una  Oportunidad de mejora significativa en el comparativo nacional con el promedio del nivel de formación.</v>
      </c>
      <c r="B23" s="34" t="str">
        <f>'Plan mejoramiento'!G23</f>
        <v>Meta 12. 
Mantener en 12,5 de semestres para la graduación</v>
      </c>
      <c r="C23" s="79"/>
      <c r="D23" s="47"/>
      <c r="E23" s="49"/>
      <c r="F23" s="51"/>
      <c r="G23" s="51"/>
      <c r="H23" s="32"/>
    </row>
    <row r="24" ht="80.25" customHeight="1">
      <c r="A24" s="34" t="str">
        <f>'Plan mejoramiento'!C24</f>
        <v>Continuar con estrategias y apoyos para mejorar la categoría de los grupos de
investigación y el reconocimiento de profesores como investigadores.</v>
      </c>
      <c r="B24" s="34" t="str">
        <f>'Plan mejoramiento'!G24</f>
        <v>Meta 13. 
Lograr que un (1) grupos de investigación suba de categoría</v>
      </c>
      <c r="C24" s="45"/>
      <c r="D24" s="47"/>
      <c r="E24" s="49"/>
      <c r="F24" s="51"/>
      <c r="G24" s="51"/>
      <c r="H24" s="32"/>
    </row>
    <row r="25" ht="60.75" customHeight="1">
      <c r="A25" s="34" t="str">
        <f>'Plan mejoramiento'!C25</f>
        <v>
Se requiere incrementar el número de registros de egresados en la base de datos</v>
      </c>
      <c r="B25" s="34" t="str">
        <f>'Plan mejoramiento'!G25</f>
        <v>Meta 14. 
Aumentar al 45% los registros actualizados de los egresados en la base de datos del Programa</v>
      </c>
      <c r="C25" s="79"/>
      <c r="D25" s="47"/>
      <c r="E25" s="49"/>
      <c r="F25" s="51"/>
      <c r="G25" s="51"/>
      <c r="H25" s="32"/>
    </row>
    <row r="26" ht="52.5" customHeight="1">
      <c r="A26" s="34" t="str">
        <f>'Plan mejoramiento'!C26</f>
        <v>Continuar robusteciendo la infraestructura de laboratorios y equipos disponibles para el Programa en las distintas líneas de profundización, tanto para la docencia,
coma para la investigación, y cumplir con el plan de mantenimiento y calibración de equipos de laboratorios de manera permanente.</v>
      </c>
      <c r="B26" s="34" t="str">
        <f>'Plan mejoramiento'!G26</f>
        <v>Meta 15. 
Construir un (1) complejo de laboratorios</v>
      </c>
      <c r="C26" s="79"/>
      <c r="D26" s="47"/>
      <c r="E26" s="49"/>
      <c r="F26" s="51"/>
      <c r="G26" s="51"/>
      <c r="H26" s="32"/>
    </row>
    <row r="27" ht="66.75" customHeight="1">
      <c r="A27" s="34" t="str">
        <f>'Plan mejoramiento'!C27</f>
        <v/>
      </c>
      <c r="B27" s="34" t="str">
        <f>'Plan mejoramiento'!G27</f>
        <v>Meta 16. 
Ejecutar el 100% del plan de adquisición de equipos de medios educativos para los laboratorios del Sistema de Gestión de Laboratorios.</v>
      </c>
      <c r="C27" s="79"/>
      <c r="D27" s="47"/>
      <c r="E27" s="49"/>
      <c r="F27" s="51"/>
      <c r="G27" s="51"/>
      <c r="H27" s="32"/>
    </row>
    <row r="28" ht="85.5" customHeight="1">
      <c r="A28" s="34" t="str">
        <f>'Plan mejoramiento'!C28</f>
        <v>Se requiere fortalecer el seguimiento de la medición de impacto que evidencie el desarrollo de las funciones misionales</v>
      </c>
      <c r="B28" s="34" t="str">
        <f>'Plan mejoramiento'!G28</f>
        <v>Meta 17. 
Obtener el nivel de cumplimiento mayor o igual al 80% en la medición del impacto</v>
      </c>
      <c r="C28" s="79"/>
      <c r="D28" s="47"/>
      <c r="E28" s="49"/>
      <c r="F28" s="51"/>
      <c r="G28" s="51"/>
      <c r="H28" s="32"/>
    </row>
  </sheetData>
  <mergeCells count="23">
    <mergeCell ref="F6:G6"/>
    <mergeCell ref="B7:E7"/>
    <mergeCell ref="D8:E8"/>
    <mergeCell ref="F8:G8"/>
    <mergeCell ref="A1:A3"/>
    <mergeCell ref="B1:G1"/>
    <mergeCell ref="B2:G2"/>
    <mergeCell ref="B3:C3"/>
    <mergeCell ref="E3:F3"/>
    <mergeCell ref="B4:E4"/>
    <mergeCell ref="F5:G5"/>
    <mergeCell ref="D11:D13"/>
    <mergeCell ref="E11:E13"/>
    <mergeCell ref="F11:F13"/>
    <mergeCell ref="G11:G13"/>
    <mergeCell ref="B5:C5"/>
    <mergeCell ref="B6:C6"/>
    <mergeCell ref="A8:A9"/>
    <mergeCell ref="B8:B9"/>
    <mergeCell ref="C8:C9"/>
    <mergeCell ref="B11:B13"/>
    <mergeCell ref="C11:C13"/>
    <mergeCell ref="A12:A13"/>
  </mergeCells>
  <conditionalFormatting sqref="C10:C28">
    <cfRule type="expression" dxfId="0" priority="1">
      <formula>$C$10=""</formula>
    </cfRule>
  </conditionalFormatting>
  <conditionalFormatting sqref="D10:D28">
    <cfRule type="expression" dxfId="0" priority="2">
      <formula>$D$10=""</formula>
    </cfRule>
  </conditionalFormatting>
  <conditionalFormatting sqref="E10:E28">
    <cfRule type="expression" dxfId="0" priority="3">
      <formula>$E$10=""</formula>
    </cfRule>
  </conditionalFormatting>
  <conditionalFormatting sqref="F10:G28">
    <cfRule type="expression" dxfId="1" priority="4">
      <formula>$F$10=""</formula>
    </cfRule>
  </conditionalFormatting>
  <conditionalFormatting sqref="C10:C28">
    <cfRule type="cellIs" dxfId="2" priority="5" operator="greaterThan">
      <formula>1</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0"/>
  <cols>
    <col customWidth="1" min="1" max="1" width="26.75"/>
    <col customWidth="1" min="2" max="2" width="34.25"/>
    <col customWidth="1" min="3" max="3" width="12.75"/>
    <col customWidth="1" min="4" max="4" width="48.63"/>
    <col customWidth="1" min="5" max="5" width="15.5"/>
    <col customWidth="1" min="6" max="6" width="24.88"/>
    <col customWidth="1" min="7" max="7" width="21.75"/>
    <col customWidth="1" min="8" max="8" width="1.13"/>
  </cols>
  <sheetData>
    <row r="1" ht="15.75" customHeight="1">
      <c r="A1" s="2"/>
      <c r="B1" s="3" t="s">
        <v>0</v>
      </c>
      <c r="C1" s="4"/>
      <c r="D1" s="4"/>
      <c r="E1" s="4"/>
      <c r="F1" s="4"/>
      <c r="G1" s="6"/>
      <c r="H1" s="7"/>
    </row>
    <row r="2" ht="15.75" customHeight="1">
      <c r="A2" s="8"/>
      <c r="B2" s="9" t="s">
        <v>1</v>
      </c>
      <c r="C2" s="4"/>
      <c r="D2" s="4"/>
      <c r="E2" s="4"/>
      <c r="F2" s="4"/>
      <c r="G2" s="6"/>
      <c r="H2" s="10"/>
    </row>
    <row r="3" ht="15.75" customHeight="1">
      <c r="A3" s="11"/>
      <c r="B3" s="12" t="s">
        <v>272</v>
      </c>
      <c r="C3" s="6"/>
      <c r="D3" s="13" t="s">
        <v>273</v>
      </c>
      <c r="E3" s="16" t="s">
        <v>274</v>
      </c>
      <c r="F3" s="6"/>
      <c r="G3" s="13" t="s">
        <v>275</v>
      </c>
      <c r="H3" s="10"/>
    </row>
    <row r="4" ht="2.25" customHeight="1">
      <c r="A4" s="5"/>
      <c r="B4" s="5"/>
      <c r="F4" s="5"/>
      <c r="G4" s="5"/>
      <c r="H4" s="5"/>
    </row>
    <row r="5">
      <c r="A5" s="18" t="s">
        <v>12</v>
      </c>
      <c r="B5" s="22" t="str">
        <f>IF('Plan mejoramiento'!B5="","",'Plan mejoramiento'!B5)</f>
        <v>De programa</v>
      </c>
      <c r="C5" s="6"/>
      <c r="D5" s="25" t="str">
        <f>IF('Plan mejoramiento'!E5="","",CONCATENATE('Plan mejoramiento'!D5," ",'Plan mejoramiento'!E5))</f>
        <v>Programa: Ingeniería Electrónica</v>
      </c>
      <c r="E5" s="26"/>
      <c r="F5" s="27"/>
      <c r="H5" s="1"/>
    </row>
    <row r="6">
      <c r="A6" s="18" t="str">
        <f>'Plan mejoramiento'!A6</f>
        <v>Facultad:</v>
      </c>
      <c r="B6" s="30" t="str">
        <f>'Plan mejoramiento'!B6</f>
        <v>Facultad de Ciencias Básicas e Ingeniería</v>
      </c>
      <c r="C6" s="31"/>
      <c r="D6" s="25" t="str">
        <f>IF('Plan mejoramiento'!J6="","",CONCATENATE('Plan mejoramiento'!J6," ",#REF!))</f>
        <v>#REF!</v>
      </c>
      <c r="E6" s="26"/>
      <c r="F6" s="27"/>
      <c r="H6" s="1"/>
    </row>
    <row r="7" ht="2.25" customHeight="1">
      <c r="A7" s="1"/>
      <c r="B7" s="1"/>
      <c r="F7" s="1"/>
      <c r="G7" s="1"/>
      <c r="H7" s="1"/>
    </row>
    <row r="8">
      <c r="A8" s="35" t="str">
        <f>'Plan mejoramiento'!C8</f>
        <v>Descripción de la oportunidad de mejora</v>
      </c>
      <c r="B8" s="35" t="str">
        <f>'Plan mejoramiento'!G8</f>
        <v>Meta de la oportunidad de mejora</v>
      </c>
      <c r="C8" s="37" t="s">
        <v>33</v>
      </c>
      <c r="D8" s="39" t="s">
        <v>34</v>
      </c>
      <c r="E8" s="4"/>
      <c r="F8" s="40" t="s">
        <v>35</v>
      </c>
      <c r="G8" s="6"/>
      <c r="H8" s="1"/>
    </row>
    <row r="9" ht="35.25" customHeight="1">
      <c r="A9" s="11"/>
      <c r="B9" s="11"/>
      <c r="C9" s="11"/>
      <c r="D9" s="42" t="s">
        <v>39</v>
      </c>
      <c r="E9" s="43" t="s">
        <v>40</v>
      </c>
      <c r="F9" s="44" t="s">
        <v>276</v>
      </c>
      <c r="G9" s="44" t="s">
        <v>43</v>
      </c>
      <c r="H9" s="1"/>
    </row>
    <row r="10" ht="88.5" customHeight="1">
      <c r="A10" s="34" t="str">
        <f>'Plan mejoramiento'!C10</f>
        <v>Continuar con estrategias para lograr que los resultados de la prueba Saber Pro sean mayores en todas las competencias ai promedio obtenido por los estudiantes
del grupo de referencia NBC.
</v>
      </c>
      <c r="B10" s="34" t="str">
        <f>'Plan mejoramiento'!G10</f>
        <v>Meta 1.
Mantener cinco (5) puntos por encima de los resultados de la prueba Saber Pro del grupo de referencia </v>
      </c>
      <c r="C10" s="45"/>
      <c r="D10" s="47"/>
      <c r="E10" s="49"/>
      <c r="F10" s="51"/>
      <c r="G10" s="51"/>
      <c r="H10" s="32"/>
    </row>
    <row r="11">
      <c r="A11" s="34" t="str">
        <f>'Plan mejoramiento'!C11</f>
        <v>Mantener la participación en las actividades de Bienestar de un porcentaje significativo de estudiantes del Programa en cada periodo, dada la importancia declarada por la institución, en el desarrollo integral y en la permanencia.</v>
      </c>
      <c r="B11" s="53" t="str">
        <f>'Plan mejoramiento'!G11</f>
        <v>Meta 2a.2b, 2c
Incrementar al 60% la participación de la comunidad del programa en actividades de bienestar institucional </v>
      </c>
      <c r="C11" s="54"/>
      <c r="D11" s="56"/>
      <c r="E11" s="58"/>
      <c r="F11" s="60"/>
      <c r="G11" s="60"/>
      <c r="H11" s="32"/>
    </row>
    <row r="12" ht="34.5" customHeight="1">
      <c r="A12" s="53" t="str">
        <f>'Plan mejoramiento'!C12</f>
        <v>Bajo porcentaje de profesores y administrativos en actividades de Bienestar</v>
      </c>
      <c r="B12" s="8"/>
      <c r="C12" s="8"/>
      <c r="D12" s="8"/>
      <c r="E12" s="8"/>
      <c r="F12" s="8"/>
      <c r="G12" s="8"/>
      <c r="H12" s="32"/>
    </row>
    <row r="13" ht="54.75" customHeight="1">
      <c r="A13" s="11"/>
      <c r="B13" s="11"/>
      <c r="C13" s="11"/>
      <c r="D13" s="11"/>
      <c r="E13" s="11"/>
      <c r="F13" s="11"/>
      <c r="G13" s="11"/>
      <c r="H13" s="32"/>
    </row>
    <row r="14">
      <c r="A14" s="34" t="str">
        <f>'Plan mejoramiento'!C14</f>
        <v>El número de profesores no es suficiente para las necesidades del programa en relación con el número de estudiantes.</v>
      </c>
      <c r="B14" s="34" t="str">
        <f>'Plan mejoramiento'!G14</f>
        <v>Meta 3.
Desarrollar una (1) convocatoria de planta docente </v>
      </c>
      <c r="C14" s="45"/>
      <c r="D14" s="47"/>
      <c r="E14" s="49"/>
      <c r="F14" s="51"/>
      <c r="G14" s="51"/>
      <c r="H14" s="32"/>
    </row>
    <row r="15">
      <c r="A15" s="34" t="str">
        <f>'Plan mejoramiento'!C15</f>
        <v>Los tiempos de dedicación a las funciones misionales no cumplen con lo establecido en los indicadores del programa.</v>
      </c>
      <c r="B15" s="34" t="str">
        <f>'Plan mejoramiento'!G15</f>
        <v>Meta 4.
Incrementar al 25% la asignación de tiempos de los docentes TC a la investigación</v>
      </c>
      <c r="C15" s="45"/>
      <c r="D15" s="47"/>
      <c r="E15" s="49"/>
      <c r="F15" s="51"/>
      <c r="G15" s="51"/>
      <c r="H15" s="32"/>
    </row>
    <row r="16">
      <c r="A16" s="34" t="str">
        <f>'Plan mejoramiento'!C16</f>
        <v/>
      </c>
      <c r="B16" s="34" t="str">
        <f>'Plan mejoramiento'!G16</f>
        <v>Meta 5.
Incrementar al 20% la asignación de tiempos de los docentes TC a la Proyección Social</v>
      </c>
      <c r="C16" s="45"/>
      <c r="D16" s="47"/>
      <c r="E16" s="49"/>
      <c r="F16" s="51"/>
      <c r="G16" s="51"/>
      <c r="H16" s="32"/>
    </row>
    <row r="17">
      <c r="A17" s="34" t="str">
        <f>'Plan mejoramiento'!C17</f>
        <v>Continuar con estrategias para aumentar el material de apoyo docente, su aplicación, y difusión.</v>
      </c>
      <c r="B17" s="34" t="str">
        <f>'Plan mejoramiento'!G17</f>
        <v>Meta 6.
Desarrollar una (1) estrategia anual para fomentar la productividad y el material de apoyo docente</v>
      </c>
      <c r="C17" s="45"/>
      <c r="D17" s="47"/>
      <c r="E17" s="49"/>
      <c r="F17" s="51"/>
      <c r="G17" s="51"/>
      <c r="H17" s="32"/>
    </row>
    <row r="18">
      <c r="A18" s="34" t="str">
        <f>'Plan mejoramiento'!C18</f>
        <v>El número de productos derivados de la participación de profesores, estudiantes y directivos del programa en redes u organismos nacionales e internacionales es bajo.</v>
      </c>
      <c r="B18" s="34" t="str">
        <f>'Plan mejoramiento'!G18</f>
        <v>Meta 7.
Incrementar al 30% la participación de los docentes en redes u organismos nacionales e internacionales para generar productos</v>
      </c>
      <c r="C18" s="45"/>
      <c r="D18" s="47"/>
      <c r="E18" s="49"/>
      <c r="F18" s="51"/>
      <c r="G18" s="51"/>
      <c r="H18" s="32"/>
    </row>
    <row r="19">
      <c r="A19" s="34" t="str">
        <f>'Plan mejoramiento'!C19</f>
        <v/>
      </c>
      <c r="B19" s="34" t="str">
        <f>'Plan mejoramiento'!G19</f>
        <v>Meta 8.
Desarrollar un (1) producto bienalmente como resultado de la articulación de redes académicas </v>
      </c>
      <c r="C19" s="45"/>
      <c r="D19" s="47"/>
      <c r="E19" s="49"/>
      <c r="F19" s="51"/>
      <c r="G19" s="51"/>
      <c r="H19" s="32"/>
    </row>
    <row r="20">
      <c r="A20" s="34" t="str">
        <f>'Plan mejoramiento'!C20</f>
        <v>Continuar promoviendo la movilidad entrante nacional e internacional y la saliente nacional</v>
      </c>
      <c r="B20" s="34" t="str">
        <f>'Plan mejoramiento'!G20</f>
        <v>Meta 9.
Realizar la movilidad de un (1) estudiante extranjero bienalmente</v>
      </c>
      <c r="C20" s="45"/>
      <c r="D20" s="47"/>
      <c r="E20" s="49"/>
      <c r="F20" s="51"/>
      <c r="G20" s="51"/>
      <c r="H20" s="32"/>
    </row>
    <row r="21" ht="140.25" customHeight="1">
      <c r="A21" s="34" t="str">
        <f>'Plan mejoramiento'!C21</f>
        <v>Aumentar la movilidad saliente de estudiantes del Programa en distintas modalidades. Aunque el Programa argumenta la reducción en este indicador, en la pandemia y el paro, es posible complementar estos resultados, estableciendo otras actividades en distintas modalidades con efectos en la visibilidad y la cooperación nacional e internacional.</v>
      </c>
      <c r="B21" s="34" t="str">
        <f>'Plan mejoramiento'!G21</f>
        <v>Meta 10.
Lograr que el 20% de estudiantes a partir del V semestre realicen movilidad saliente nacional o internacional anualmente </v>
      </c>
      <c r="C21" s="45"/>
      <c r="D21" s="47"/>
      <c r="E21" s="49"/>
      <c r="F21" s="51"/>
      <c r="G21" s="51"/>
      <c r="H21" s="32"/>
    </row>
    <row r="22" ht="108.75" customHeight="1">
      <c r="A22" s="34" t="str">
        <f>'Plan mejoramiento'!C22</f>
        <v>Persistir en acciones que permitan de manera efectiva continuar disminuyendo la deserción en el Programa. La tasa de deserción anual para 3 periodos entre 2019 y
2021 es superior al promedio nacional para nivel de formación.</v>
      </c>
      <c r="B22" s="34" t="str">
        <f>'Plan mejoramiento'!G22</f>
        <v>Meta 11.
Mantener un (1) digito la tasa deserción del programa </v>
      </c>
      <c r="C22" s="79"/>
      <c r="D22" s="47"/>
      <c r="E22" s="49"/>
      <c r="F22" s="51"/>
      <c r="G22" s="51"/>
      <c r="H22" s="32"/>
    </row>
    <row r="23" ht="148.5" customHeight="1">
      <c r="A23" s="34" t="str">
        <f>'Plan mejoramiento'!C23</f>
        <v>Continuar con la estrategia para lograr la graduación en el tiempo aprobado en el registro calificado. La tasa acumulada de graduación del Programa al semestre 13 es del 23.57% inferior al promedio nacional para el profesional universitario. Aunque es mejor con relación al proceso anterior de acreditación, aún hay una  Oportunidad de mejora significativa en el comparativo nacional con el promedio del nivel de formación.</v>
      </c>
      <c r="B23" s="34" t="str">
        <f>'Plan mejoramiento'!G23</f>
        <v>Meta 12. 
Mantener en 12,5 de semestres para la graduación</v>
      </c>
      <c r="C23" s="79"/>
      <c r="D23" s="47"/>
      <c r="E23" s="49"/>
      <c r="F23" s="51"/>
      <c r="G23" s="51"/>
      <c r="H23" s="32"/>
    </row>
    <row r="24" ht="80.25" customHeight="1">
      <c r="A24" s="34" t="str">
        <f>'Plan mejoramiento'!C24</f>
        <v>Continuar con estrategias y apoyos para mejorar la categoría de los grupos de
investigación y el reconocimiento de profesores como investigadores.</v>
      </c>
      <c r="B24" s="34" t="str">
        <f>'Plan mejoramiento'!G24</f>
        <v>Meta 13. 
Lograr que un (1) grupos de investigación suba de categoría</v>
      </c>
      <c r="C24" s="45"/>
      <c r="D24" s="47"/>
      <c r="E24" s="49"/>
      <c r="F24" s="51"/>
      <c r="G24" s="51"/>
      <c r="H24" s="32"/>
    </row>
    <row r="25" ht="60.75" customHeight="1">
      <c r="A25" s="34" t="str">
        <f>'Plan mejoramiento'!C25</f>
        <v>
Se requiere incrementar el número de registros de egresados en la base de datos</v>
      </c>
      <c r="B25" s="34" t="str">
        <f>'Plan mejoramiento'!G25</f>
        <v>Meta 14. 
Aumentar al 45% los registros actualizados de los egresados en la base de datos del Programa</v>
      </c>
      <c r="C25" s="79"/>
      <c r="D25" s="47"/>
      <c r="E25" s="49"/>
      <c r="F25" s="51"/>
      <c r="G25" s="51"/>
      <c r="H25" s="32"/>
    </row>
    <row r="26" ht="52.5" customHeight="1">
      <c r="A26" s="34" t="str">
        <f>'Plan mejoramiento'!C26</f>
        <v>Continuar robusteciendo la infraestructura de laboratorios y equipos disponibles para el Programa en las distintas líneas de profundización, tanto para la docencia,
coma para la investigación, y cumplir con el plan de mantenimiento y calibración de equipos de laboratorios de manera permanente.</v>
      </c>
      <c r="B26" s="34" t="str">
        <f>'Plan mejoramiento'!G26</f>
        <v>Meta 15. 
Construir un (1) complejo de laboratorios</v>
      </c>
      <c r="C26" s="79"/>
      <c r="D26" s="47"/>
      <c r="E26" s="49"/>
      <c r="F26" s="51"/>
      <c r="G26" s="51"/>
      <c r="H26" s="32"/>
    </row>
    <row r="27" ht="66.75" customHeight="1">
      <c r="A27" s="34" t="str">
        <f>'Plan mejoramiento'!C27</f>
        <v/>
      </c>
      <c r="B27" s="34" t="str">
        <f>'Plan mejoramiento'!G27</f>
        <v>Meta 16. 
Ejecutar el 100% del plan de adquisición de equipos de medios educativos para los laboratorios del Sistema de Gestión de Laboratorios.</v>
      </c>
      <c r="C27" s="79"/>
      <c r="D27" s="47"/>
      <c r="E27" s="49"/>
      <c r="F27" s="51"/>
      <c r="G27" s="51"/>
      <c r="H27" s="32"/>
    </row>
    <row r="28" ht="85.5" customHeight="1">
      <c r="A28" s="34" t="str">
        <f>'Plan mejoramiento'!C28</f>
        <v>Se requiere fortalecer el seguimiento de la medición de impacto que evidencie el desarrollo de las funciones misionales</v>
      </c>
      <c r="B28" s="34" t="str">
        <f>'Plan mejoramiento'!G28</f>
        <v>Meta 17. 
Obtener el nivel de cumplimiento mayor o igual al 80% en la medición del impacto</v>
      </c>
      <c r="C28" s="79"/>
      <c r="D28" s="47"/>
      <c r="E28" s="49"/>
      <c r="F28" s="51"/>
      <c r="G28" s="51"/>
      <c r="H28" s="32"/>
    </row>
  </sheetData>
  <mergeCells count="23">
    <mergeCell ref="F6:G6"/>
    <mergeCell ref="B7:E7"/>
    <mergeCell ref="D8:E8"/>
    <mergeCell ref="F8:G8"/>
    <mergeCell ref="A1:A3"/>
    <mergeCell ref="B1:G1"/>
    <mergeCell ref="B2:G2"/>
    <mergeCell ref="B3:C3"/>
    <mergeCell ref="E3:F3"/>
    <mergeCell ref="B4:E4"/>
    <mergeCell ref="F5:G5"/>
    <mergeCell ref="D11:D13"/>
    <mergeCell ref="E11:E13"/>
    <mergeCell ref="F11:F13"/>
    <mergeCell ref="G11:G13"/>
    <mergeCell ref="B5:C5"/>
    <mergeCell ref="B6:C6"/>
    <mergeCell ref="A8:A9"/>
    <mergeCell ref="B8:B9"/>
    <mergeCell ref="C8:C9"/>
    <mergeCell ref="B11:B13"/>
    <mergeCell ref="C11:C13"/>
    <mergeCell ref="A12:A13"/>
  </mergeCells>
  <conditionalFormatting sqref="C10:C28">
    <cfRule type="expression" dxfId="0" priority="1">
      <formula>$C$10=""</formula>
    </cfRule>
  </conditionalFormatting>
  <conditionalFormatting sqref="D10:D28">
    <cfRule type="expression" dxfId="0" priority="2">
      <formula>$D$10=""</formula>
    </cfRule>
  </conditionalFormatting>
  <conditionalFormatting sqref="E10:E28">
    <cfRule type="expression" dxfId="0" priority="3">
      <formula>$E$10=""</formula>
    </cfRule>
  </conditionalFormatting>
  <conditionalFormatting sqref="F10:G28">
    <cfRule type="expression" dxfId="1" priority="4">
      <formula>$F$10=""</formula>
    </cfRule>
  </conditionalFormatting>
  <conditionalFormatting sqref="C10:C28">
    <cfRule type="cellIs" dxfId="2" priority="5" operator="greaterThan">
      <formula>1</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0"/>
  <cols>
    <col customWidth="1" min="1" max="1" width="26.75"/>
    <col customWidth="1" min="2" max="2" width="34.25"/>
    <col customWidth="1" min="3" max="3" width="12.75"/>
    <col customWidth="1" min="4" max="4" width="48.63"/>
    <col customWidth="1" min="5" max="5" width="15.5"/>
    <col customWidth="1" min="6" max="6" width="24.88"/>
    <col customWidth="1" min="7" max="7" width="21.75"/>
    <col customWidth="1" min="8" max="8" width="1.13"/>
  </cols>
  <sheetData>
    <row r="1" ht="15.75" customHeight="1">
      <c r="A1" s="2"/>
      <c r="B1" s="3" t="s">
        <v>0</v>
      </c>
      <c r="C1" s="4"/>
      <c r="D1" s="4"/>
      <c r="E1" s="4"/>
      <c r="F1" s="4"/>
      <c r="G1" s="6"/>
      <c r="H1" s="7"/>
    </row>
    <row r="2" ht="15.75" customHeight="1">
      <c r="A2" s="8"/>
      <c r="B2" s="9" t="s">
        <v>1</v>
      </c>
      <c r="C2" s="4"/>
      <c r="D2" s="4"/>
      <c r="E2" s="4"/>
      <c r="F2" s="4"/>
      <c r="G2" s="6"/>
      <c r="H2" s="10"/>
    </row>
    <row r="3" ht="15.75" customHeight="1">
      <c r="A3" s="11"/>
      <c r="B3" s="12" t="s">
        <v>277</v>
      </c>
      <c r="C3" s="6"/>
      <c r="D3" s="13" t="s">
        <v>278</v>
      </c>
      <c r="E3" s="16" t="s">
        <v>279</v>
      </c>
      <c r="F3" s="6"/>
      <c r="G3" s="13" t="s">
        <v>280</v>
      </c>
      <c r="H3" s="10"/>
    </row>
    <row r="4" ht="2.25" customHeight="1">
      <c r="A4" s="5"/>
      <c r="B4" s="5"/>
      <c r="F4" s="5"/>
      <c r="G4" s="5"/>
      <c r="H4" s="5"/>
    </row>
    <row r="5">
      <c r="A5" s="18" t="s">
        <v>12</v>
      </c>
      <c r="B5" s="22" t="str">
        <f>IF('Plan mejoramiento'!B5="","",'Plan mejoramiento'!B5)</f>
        <v>De programa</v>
      </c>
      <c r="C5" s="6"/>
      <c r="D5" s="25" t="str">
        <f>IF('Plan mejoramiento'!E5="","",CONCATENATE('Plan mejoramiento'!D5," ",'Plan mejoramiento'!E5))</f>
        <v>Programa: Ingeniería Electrónica</v>
      </c>
      <c r="E5" s="26"/>
      <c r="F5" s="27"/>
      <c r="H5" s="1"/>
    </row>
    <row r="6">
      <c r="A6" s="18" t="str">
        <f>'Plan mejoramiento'!A6</f>
        <v>Facultad:</v>
      </c>
      <c r="B6" s="30" t="str">
        <f>'Plan mejoramiento'!B6</f>
        <v>Facultad de Ciencias Básicas e Ingeniería</v>
      </c>
      <c r="C6" s="31"/>
      <c r="D6" s="25" t="str">
        <f>IF('Plan mejoramiento'!J6="","",CONCATENATE('Plan mejoramiento'!J6," ",#REF!))</f>
        <v>#REF!</v>
      </c>
      <c r="E6" s="26"/>
      <c r="F6" s="27"/>
      <c r="H6" s="1"/>
    </row>
    <row r="7" ht="2.25" customHeight="1">
      <c r="A7" s="1"/>
      <c r="B7" s="1"/>
      <c r="F7" s="1"/>
      <c r="G7" s="1"/>
      <c r="H7" s="1"/>
    </row>
    <row r="8">
      <c r="A8" s="35" t="str">
        <f>'Plan mejoramiento'!C8</f>
        <v>Descripción de la oportunidad de mejora</v>
      </c>
      <c r="B8" s="35" t="str">
        <f>'Plan mejoramiento'!G8</f>
        <v>Meta de la oportunidad de mejora</v>
      </c>
      <c r="C8" s="37" t="s">
        <v>33</v>
      </c>
      <c r="D8" s="39" t="s">
        <v>34</v>
      </c>
      <c r="E8" s="4"/>
      <c r="F8" s="40" t="s">
        <v>35</v>
      </c>
      <c r="G8" s="6"/>
      <c r="H8" s="1"/>
    </row>
    <row r="9" ht="35.25" customHeight="1">
      <c r="A9" s="11"/>
      <c r="B9" s="11"/>
      <c r="C9" s="11"/>
      <c r="D9" s="42" t="s">
        <v>39</v>
      </c>
      <c r="E9" s="43" t="s">
        <v>40</v>
      </c>
      <c r="F9" s="44" t="s">
        <v>285</v>
      </c>
      <c r="G9" s="44" t="s">
        <v>43</v>
      </c>
      <c r="H9" s="1"/>
    </row>
    <row r="10" ht="88.5" customHeight="1">
      <c r="A10" s="34" t="str">
        <f>'Plan mejoramiento'!C10</f>
        <v>Continuar con estrategias para lograr que los resultados de la prueba Saber Pro sean mayores en todas las competencias ai promedio obtenido por los estudiantes
del grupo de referencia NBC.
</v>
      </c>
      <c r="B10" s="34" t="str">
        <f>'Plan mejoramiento'!G10</f>
        <v>Meta 1.
Mantener cinco (5) puntos por encima de los resultados de la prueba Saber Pro del grupo de referencia </v>
      </c>
      <c r="C10" s="45"/>
      <c r="D10" s="47"/>
      <c r="E10" s="49"/>
      <c r="F10" s="51"/>
      <c r="G10" s="51"/>
      <c r="H10" s="32"/>
    </row>
    <row r="11">
      <c r="A11" s="34" t="str">
        <f>'Plan mejoramiento'!C11</f>
        <v>Mantener la participación en las actividades de Bienestar de un porcentaje significativo de estudiantes del Programa en cada periodo, dada la importancia declarada por la institución, en el desarrollo integral y en la permanencia.</v>
      </c>
      <c r="B11" s="53" t="str">
        <f>'Plan mejoramiento'!G11</f>
        <v>Meta 2a.2b, 2c
Incrementar al 60% la participación de la comunidad del programa en actividades de bienestar institucional </v>
      </c>
      <c r="C11" s="54"/>
      <c r="D11" s="56"/>
      <c r="E11" s="58"/>
      <c r="F11" s="60"/>
      <c r="G11" s="60"/>
      <c r="H11" s="32"/>
    </row>
    <row r="12" ht="34.5" customHeight="1">
      <c r="A12" s="53" t="str">
        <f>'Plan mejoramiento'!C12</f>
        <v>Bajo porcentaje de profesores y administrativos en actividades de Bienestar</v>
      </c>
      <c r="B12" s="8"/>
      <c r="C12" s="8"/>
      <c r="D12" s="8"/>
      <c r="E12" s="8"/>
      <c r="F12" s="8"/>
      <c r="G12" s="8"/>
      <c r="H12" s="32"/>
    </row>
    <row r="13" ht="54.75" customHeight="1">
      <c r="A13" s="11"/>
      <c r="B13" s="11"/>
      <c r="C13" s="11"/>
      <c r="D13" s="11"/>
      <c r="E13" s="11"/>
      <c r="F13" s="11"/>
      <c r="G13" s="11"/>
      <c r="H13" s="32"/>
    </row>
    <row r="14">
      <c r="A14" s="34" t="str">
        <f>'Plan mejoramiento'!C14</f>
        <v>El número de profesores no es suficiente para las necesidades del programa en relación con el número de estudiantes.</v>
      </c>
      <c r="B14" s="34" t="str">
        <f>'Plan mejoramiento'!G14</f>
        <v>Meta 3.
Desarrollar una (1) convocatoria de planta docente </v>
      </c>
      <c r="C14" s="45"/>
      <c r="D14" s="47"/>
      <c r="E14" s="49"/>
      <c r="F14" s="51"/>
      <c r="G14" s="51"/>
      <c r="H14" s="32"/>
    </row>
    <row r="15">
      <c r="A15" s="34" t="str">
        <f>'Plan mejoramiento'!C15</f>
        <v>Los tiempos de dedicación a las funciones misionales no cumplen con lo establecido en los indicadores del programa.</v>
      </c>
      <c r="B15" s="34" t="str">
        <f>'Plan mejoramiento'!G15</f>
        <v>Meta 4.
Incrementar al 25% la asignación de tiempos de los docentes TC a la investigación</v>
      </c>
      <c r="C15" s="45"/>
      <c r="D15" s="47"/>
      <c r="E15" s="49"/>
      <c r="F15" s="51"/>
      <c r="G15" s="51"/>
      <c r="H15" s="32"/>
    </row>
    <row r="16">
      <c r="A16" s="34" t="str">
        <f>'Plan mejoramiento'!C16</f>
        <v/>
      </c>
      <c r="B16" s="34" t="str">
        <f>'Plan mejoramiento'!G16</f>
        <v>Meta 5.
Incrementar al 20% la asignación de tiempos de los docentes TC a la Proyección Social</v>
      </c>
      <c r="C16" s="45"/>
      <c r="D16" s="47"/>
      <c r="E16" s="49"/>
      <c r="F16" s="51"/>
      <c r="G16" s="51"/>
      <c r="H16" s="32"/>
    </row>
    <row r="17">
      <c r="A17" s="34" t="str">
        <f>'Plan mejoramiento'!C17</f>
        <v>Continuar con estrategias para aumentar el material de apoyo docente, su aplicación, y difusión.</v>
      </c>
      <c r="B17" s="34" t="str">
        <f>'Plan mejoramiento'!G17</f>
        <v>Meta 6.
Desarrollar una (1) estrategia anual para fomentar la productividad y el material de apoyo docente</v>
      </c>
      <c r="C17" s="45"/>
      <c r="D17" s="47"/>
      <c r="E17" s="49"/>
      <c r="F17" s="51"/>
      <c r="G17" s="51"/>
      <c r="H17" s="32"/>
    </row>
    <row r="18">
      <c r="A18" s="34" t="str">
        <f>'Plan mejoramiento'!C18</f>
        <v>El número de productos derivados de la participación de profesores, estudiantes y directivos del programa en redes u organismos nacionales e internacionales es bajo.</v>
      </c>
      <c r="B18" s="34" t="str">
        <f>'Plan mejoramiento'!G18</f>
        <v>Meta 7.
Incrementar al 30% la participación de los docentes en redes u organismos nacionales e internacionales para generar productos</v>
      </c>
      <c r="C18" s="45"/>
      <c r="D18" s="47"/>
      <c r="E18" s="49"/>
      <c r="F18" s="51"/>
      <c r="G18" s="51"/>
      <c r="H18" s="32"/>
    </row>
    <row r="19">
      <c r="A19" s="34" t="str">
        <f>'Plan mejoramiento'!C19</f>
        <v/>
      </c>
      <c r="B19" s="34" t="str">
        <f>'Plan mejoramiento'!G19</f>
        <v>Meta 8.
Desarrollar un (1) producto bienalmente como resultado de la articulación de redes académicas </v>
      </c>
      <c r="C19" s="45"/>
      <c r="D19" s="47"/>
      <c r="E19" s="49"/>
      <c r="F19" s="51"/>
      <c r="G19" s="51"/>
      <c r="H19" s="32"/>
    </row>
    <row r="20">
      <c r="A20" s="34" t="str">
        <f>'Plan mejoramiento'!C20</f>
        <v>Continuar promoviendo la movilidad entrante nacional e internacional y la saliente nacional</v>
      </c>
      <c r="B20" s="34" t="str">
        <f>'Plan mejoramiento'!G20</f>
        <v>Meta 9.
Realizar la movilidad de un (1) estudiante extranjero bienalmente</v>
      </c>
      <c r="C20" s="45"/>
      <c r="D20" s="47"/>
      <c r="E20" s="49"/>
      <c r="F20" s="51"/>
      <c r="G20" s="51"/>
      <c r="H20" s="32"/>
    </row>
    <row r="21" ht="140.25" customHeight="1">
      <c r="A21" s="34" t="str">
        <f>'Plan mejoramiento'!C21</f>
        <v>Aumentar la movilidad saliente de estudiantes del Programa en distintas modalidades. Aunque el Programa argumenta la reducción en este indicador, en la pandemia y el paro, es posible complementar estos resultados, estableciendo otras actividades en distintas modalidades con efectos en la visibilidad y la cooperación nacional e internacional.</v>
      </c>
      <c r="B21" s="34" t="str">
        <f>'Plan mejoramiento'!G21</f>
        <v>Meta 10.
Lograr que el 20% de estudiantes a partir del V semestre realicen movilidad saliente nacional o internacional anualmente </v>
      </c>
      <c r="C21" s="45"/>
      <c r="D21" s="47"/>
      <c r="E21" s="49"/>
      <c r="F21" s="51"/>
      <c r="G21" s="51"/>
      <c r="H21" s="32"/>
    </row>
    <row r="22" ht="108.75" customHeight="1">
      <c r="A22" s="34" t="str">
        <f>'Plan mejoramiento'!C22</f>
        <v>Persistir en acciones que permitan de manera efectiva continuar disminuyendo la deserción en el Programa. La tasa de deserción anual para 3 periodos entre 2019 y
2021 es superior al promedio nacional para nivel de formación.</v>
      </c>
      <c r="B22" s="34" t="str">
        <f>'Plan mejoramiento'!G22</f>
        <v>Meta 11.
Mantener un (1) digito la tasa deserción del programa </v>
      </c>
      <c r="C22" s="79"/>
      <c r="D22" s="47"/>
      <c r="E22" s="49"/>
      <c r="F22" s="51"/>
      <c r="G22" s="51"/>
      <c r="H22" s="32"/>
    </row>
    <row r="23" ht="148.5" customHeight="1">
      <c r="A23" s="34" t="str">
        <f>'Plan mejoramiento'!C23</f>
        <v>Continuar con la estrategia para lograr la graduación en el tiempo aprobado en el registro calificado. La tasa acumulada de graduación del Programa al semestre 13 es del 23.57% inferior al promedio nacional para el profesional universitario. Aunque es mejor con relación al proceso anterior de acreditación, aún hay una  Oportunidad de mejora significativa en el comparativo nacional con el promedio del nivel de formación.</v>
      </c>
      <c r="B23" s="34" t="str">
        <f>'Plan mejoramiento'!G23</f>
        <v>Meta 12. 
Mantener en 12,5 de semestres para la graduación</v>
      </c>
      <c r="C23" s="79"/>
      <c r="D23" s="47"/>
      <c r="E23" s="49"/>
      <c r="F23" s="51"/>
      <c r="G23" s="51"/>
      <c r="H23" s="32"/>
    </row>
    <row r="24" ht="80.25" customHeight="1">
      <c r="A24" s="34" t="str">
        <f>'Plan mejoramiento'!C24</f>
        <v>Continuar con estrategias y apoyos para mejorar la categoría de los grupos de
investigación y el reconocimiento de profesores como investigadores.</v>
      </c>
      <c r="B24" s="34" t="str">
        <f>'Plan mejoramiento'!G24</f>
        <v>Meta 13. 
Lograr que un (1) grupos de investigación suba de categoría</v>
      </c>
      <c r="C24" s="45"/>
      <c r="D24" s="47"/>
      <c r="E24" s="49"/>
      <c r="F24" s="51"/>
      <c r="G24" s="51"/>
      <c r="H24" s="32"/>
    </row>
    <row r="25" ht="60.75" customHeight="1">
      <c r="A25" s="34" t="str">
        <f>'Plan mejoramiento'!C25</f>
        <v>
Se requiere incrementar el número de registros de egresados en la base de datos</v>
      </c>
      <c r="B25" s="34" t="str">
        <f>'Plan mejoramiento'!G25</f>
        <v>Meta 14. 
Aumentar al 45% los registros actualizados de los egresados en la base de datos del Programa</v>
      </c>
      <c r="C25" s="79"/>
      <c r="D25" s="47"/>
      <c r="E25" s="49"/>
      <c r="F25" s="51"/>
      <c r="G25" s="51"/>
      <c r="H25" s="32"/>
    </row>
    <row r="26" ht="52.5" customHeight="1">
      <c r="A26" s="34" t="str">
        <f>'Plan mejoramiento'!C26</f>
        <v>Continuar robusteciendo la infraestructura de laboratorios y equipos disponibles para el Programa en las distintas líneas de profundización, tanto para la docencia,
coma para la investigación, y cumplir con el plan de mantenimiento y calibración de equipos de laboratorios de manera permanente.</v>
      </c>
      <c r="B26" s="34" t="str">
        <f>'Plan mejoramiento'!G26</f>
        <v>Meta 15. 
Construir un (1) complejo de laboratorios</v>
      </c>
      <c r="C26" s="79"/>
      <c r="D26" s="47"/>
      <c r="E26" s="49"/>
      <c r="F26" s="51"/>
      <c r="G26" s="51"/>
      <c r="H26" s="32"/>
    </row>
    <row r="27" ht="66.75" customHeight="1">
      <c r="A27" s="34" t="str">
        <f>'Plan mejoramiento'!C27</f>
        <v/>
      </c>
      <c r="B27" s="34" t="str">
        <f>'Plan mejoramiento'!G27</f>
        <v>Meta 16. 
Ejecutar el 100% del plan de adquisición de equipos de medios educativos para los laboratorios del Sistema de Gestión de Laboratorios.</v>
      </c>
      <c r="C27" s="79"/>
      <c r="D27" s="47"/>
      <c r="E27" s="49"/>
      <c r="F27" s="51"/>
      <c r="G27" s="51"/>
      <c r="H27" s="32"/>
    </row>
    <row r="28" ht="85.5" customHeight="1">
      <c r="A28" s="34" t="str">
        <f>'Plan mejoramiento'!C28</f>
        <v>Se requiere fortalecer el seguimiento de la medición de impacto que evidencie el desarrollo de las funciones misionales</v>
      </c>
      <c r="B28" s="34" t="str">
        <f>'Plan mejoramiento'!G28</f>
        <v>Meta 17. 
Obtener el nivel de cumplimiento mayor o igual al 80% en la medición del impacto</v>
      </c>
      <c r="C28" s="79"/>
      <c r="D28" s="47"/>
      <c r="E28" s="49"/>
      <c r="F28" s="51"/>
      <c r="G28" s="51"/>
      <c r="H28" s="32"/>
    </row>
  </sheetData>
  <mergeCells count="23">
    <mergeCell ref="F6:G6"/>
    <mergeCell ref="B7:E7"/>
    <mergeCell ref="D8:E8"/>
    <mergeCell ref="F8:G8"/>
    <mergeCell ref="A1:A3"/>
    <mergeCell ref="B1:G1"/>
    <mergeCell ref="B2:G2"/>
    <mergeCell ref="B3:C3"/>
    <mergeCell ref="E3:F3"/>
    <mergeCell ref="B4:E4"/>
    <mergeCell ref="F5:G5"/>
    <mergeCell ref="D11:D13"/>
    <mergeCell ref="E11:E13"/>
    <mergeCell ref="F11:F13"/>
    <mergeCell ref="G11:G13"/>
    <mergeCell ref="B5:C5"/>
    <mergeCell ref="B6:C6"/>
    <mergeCell ref="A8:A9"/>
    <mergeCell ref="B8:B9"/>
    <mergeCell ref="C8:C9"/>
    <mergeCell ref="B11:B13"/>
    <mergeCell ref="C11:C13"/>
    <mergeCell ref="A12:A13"/>
  </mergeCells>
  <conditionalFormatting sqref="C10:C28">
    <cfRule type="expression" dxfId="0" priority="1">
      <formula>$C$10=""</formula>
    </cfRule>
  </conditionalFormatting>
  <conditionalFormatting sqref="D10:D28">
    <cfRule type="expression" dxfId="0" priority="2">
      <formula>$D$10=""</formula>
    </cfRule>
  </conditionalFormatting>
  <conditionalFormatting sqref="E10:E28">
    <cfRule type="expression" dxfId="0" priority="3">
      <formula>$E$10=""</formula>
    </cfRule>
  </conditionalFormatting>
  <conditionalFormatting sqref="F10:G28">
    <cfRule type="expression" dxfId="1" priority="4">
      <formula>$F$10=""</formula>
    </cfRule>
  </conditionalFormatting>
  <conditionalFormatting sqref="C10:C28">
    <cfRule type="cellIs" dxfId="2" priority="5" operator="greaterThan">
      <formula>1</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0"/>
  <cols>
    <col customWidth="1" min="1" max="1" width="26.75"/>
    <col customWidth="1" min="2" max="2" width="34.25"/>
    <col customWidth="1" min="3" max="3" width="12.75"/>
    <col customWidth="1" min="4" max="4" width="48.63"/>
    <col customWidth="1" min="5" max="5" width="15.5"/>
    <col customWidth="1" min="6" max="6" width="24.88"/>
    <col customWidth="1" min="7" max="7" width="21.75"/>
    <col customWidth="1" min="8" max="8" width="1.13"/>
  </cols>
  <sheetData>
    <row r="1" ht="15.75" customHeight="1">
      <c r="A1" s="2"/>
      <c r="B1" s="3" t="s">
        <v>0</v>
      </c>
      <c r="C1" s="4"/>
      <c r="D1" s="4"/>
      <c r="E1" s="4"/>
      <c r="F1" s="4"/>
      <c r="G1" s="6"/>
      <c r="H1" s="7"/>
    </row>
    <row r="2" ht="15.75" customHeight="1">
      <c r="A2" s="8"/>
      <c r="B2" s="9" t="s">
        <v>1</v>
      </c>
      <c r="C2" s="4"/>
      <c r="D2" s="4"/>
      <c r="E2" s="4"/>
      <c r="F2" s="4"/>
      <c r="G2" s="6"/>
      <c r="H2" s="10"/>
    </row>
    <row r="3" ht="15.75" customHeight="1">
      <c r="A3" s="11"/>
      <c r="B3" s="12" t="s">
        <v>281</v>
      </c>
      <c r="C3" s="6"/>
      <c r="D3" s="13" t="s">
        <v>282</v>
      </c>
      <c r="E3" s="16" t="s">
        <v>283</v>
      </c>
      <c r="F3" s="6"/>
      <c r="G3" s="13" t="s">
        <v>284</v>
      </c>
      <c r="H3" s="10"/>
    </row>
    <row r="4" ht="2.25" customHeight="1">
      <c r="A4" s="5"/>
      <c r="B4" s="5"/>
      <c r="F4" s="5"/>
      <c r="G4" s="5"/>
      <c r="H4" s="5"/>
    </row>
    <row r="5">
      <c r="A5" s="18" t="s">
        <v>12</v>
      </c>
      <c r="B5" s="22" t="str">
        <f>IF('Plan mejoramiento'!B5="","",'Plan mejoramiento'!B5)</f>
        <v>De programa</v>
      </c>
      <c r="C5" s="6"/>
      <c r="D5" s="25" t="str">
        <f>IF('Plan mejoramiento'!E5="","",CONCATENATE('Plan mejoramiento'!D5," ",'Plan mejoramiento'!E5))</f>
        <v>Programa: Ingeniería Electrónica</v>
      </c>
      <c r="E5" s="26"/>
      <c r="F5" s="27"/>
      <c r="H5" s="1"/>
    </row>
    <row r="6">
      <c r="A6" s="18" t="str">
        <f>'Plan mejoramiento'!A6</f>
        <v>Facultad:</v>
      </c>
      <c r="B6" s="30" t="str">
        <f>'Plan mejoramiento'!B6</f>
        <v>Facultad de Ciencias Básicas e Ingeniería</v>
      </c>
      <c r="C6" s="31"/>
      <c r="D6" s="25" t="str">
        <f>IF('Plan mejoramiento'!J6="","",CONCATENATE('Plan mejoramiento'!J6," ",#REF!))</f>
        <v>#REF!</v>
      </c>
      <c r="E6" s="26"/>
      <c r="F6" s="27"/>
      <c r="H6" s="1"/>
    </row>
    <row r="7" ht="2.25" customHeight="1">
      <c r="A7" s="1"/>
      <c r="B7" s="1"/>
      <c r="F7" s="1"/>
      <c r="G7" s="1"/>
      <c r="H7" s="1"/>
    </row>
    <row r="8">
      <c r="A8" s="35" t="str">
        <f>'Plan mejoramiento'!C8</f>
        <v>Descripción de la oportunidad de mejora</v>
      </c>
      <c r="B8" s="35" t="str">
        <f>'Plan mejoramiento'!G8</f>
        <v>Meta de la oportunidad de mejora</v>
      </c>
      <c r="C8" s="37" t="s">
        <v>33</v>
      </c>
      <c r="D8" s="39" t="s">
        <v>34</v>
      </c>
      <c r="E8" s="4"/>
      <c r="F8" s="40" t="s">
        <v>35</v>
      </c>
      <c r="G8" s="6"/>
      <c r="H8" s="1"/>
    </row>
    <row r="9" ht="35.25" customHeight="1">
      <c r="A9" s="11"/>
      <c r="B9" s="11"/>
      <c r="C9" s="11"/>
      <c r="D9" s="42" t="s">
        <v>39</v>
      </c>
      <c r="E9" s="43" t="s">
        <v>40</v>
      </c>
      <c r="F9" s="44" t="s">
        <v>290</v>
      </c>
      <c r="G9" s="44" t="s">
        <v>43</v>
      </c>
      <c r="H9" s="1"/>
    </row>
    <row r="10" ht="88.5" customHeight="1">
      <c r="A10" s="34" t="str">
        <f>'Plan mejoramiento'!C10</f>
        <v>Continuar con estrategias para lograr que los resultados de la prueba Saber Pro sean mayores en todas las competencias ai promedio obtenido por los estudiantes
del grupo de referencia NBC.
</v>
      </c>
      <c r="B10" s="34" t="str">
        <f>'Plan mejoramiento'!G10</f>
        <v>Meta 1.
Mantener cinco (5) puntos por encima de los resultados de la prueba Saber Pro del grupo de referencia </v>
      </c>
      <c r="C10" s="45"/>
      <c r="D10" s="47"/>
      <c r="E10" s="49"/>
      <c r="F10" s="51"/>
      <c r="G10" s="51"/>
      <c r="H10" s="32"/>
    </row>
    <row r="11">
      <c r="A11" s="34" t="str">
        <f>'Plan mejoramiento'!C11</f>
        <v>Mantener la participación en las actividades de Bienestar de un porcentaje significativo de estudiantes del Programa en cada periodo, dada la importancia declarada por la institución, en el desarrollo integral y en la permanencia.</v>
      </c>
      <c r="B11" s="53" t="str">
        <f>'Plan mejoramiento'!G11</f>
        <v>Meta 2a.2b, 2c
Incrementar al 60% la participación de la comunidad del programa en actividades de bienestar institucional </v>
      </c>
      <c r="C11" s="54"/>
      <c r="D11" s="56"/>
      <c r="E11" s="58"/>
      <c r="F11" s="60"/>
      <c r="G11" s="60"/>
      <c r="H11" s="32"/>
    </row>
    <row r="12" ht="34.5" customHeight="1">
      <c r="A12" s="53" t="str">
        <f>'Plan mejoramiento'!C12</f>
        <v>Bajo porcentaje de profesores y administrativos en actividades de Bienestar</v>
      </c>
      <c r="B12" s="8"/>
      <c r="C12" s="8"/>
      <c r="D12" s="8"/>
      <c r="E12" s="8"/>
      <c r="F12" s="8"/>
      <c r="G12" s="8"/>
      <c r="H12" s="32"/>
    </row>
    <row r="13" ht="54.75" customHeight="1">
      <c r="A13" s="11"/>
      <c r="B13" s="11"/>
      <c r="C13" s="11"/>
      <c r="D13" s="11"/>
      <c r="E13" s="11"/>
      <c r="F13" s="11"/>
      <c r="G13" s="11"/>
      <c r="H13" s="32"/>
    </row>
    <row r="14">
      <c r="A14" s="34" t="str">
        <f>'Plan mejoramiento'!C14</f>
        <v>El número de profesores no es suficiente para las necesidades del programa en relación con el número de estudiantes.</v>
      </c>
      <c r="B14" s="34" t="str">
        <f>'Plan mejoramiento'!G14</f>
        <v>Meta 3.
Desarrollar una (1) convocatoria de planta docente </v>
      </c>
      <c r="C14" s="45"/>
      <c r="D14" s="47"/>
      <c r="E14" s="49"/>
      <c r="F14" s="51"/>
      <c r="G14" s="51"/>
      <c r="H14" s="32"/>
    </row>
    <row r="15">
      <c r="A15" s="34" t="str">
        <f>'Plan mejoramiento'!C15</f>
        <v>Los tiempos de dedicación a las funciones misionales no cumplen con lo establecido en los indicadores del programa.</v>
      </c>
      <c r="B15" s="34" t="str">
        <f>'Plan mejoramiento'!G15</f>
        <v>Meta 4.
Incrementar al 25% la asignación de tiempos de los docentes TC a la investigación</v>
      </c>
      <c r="C15" s="45"/>
      <c r="D15" s="47"/>
      <c r="E15" s="49"/>
      <c r="F15" s="51"/>
      <c r="G15" s="51"/>
      <c r="H15" s="32"/>
    </row>
    <row r="16">
      <c r="A16" s="34" t="str">
        <f>'Plan mejoramiento'!C16</f>
        <v/>
      </c>
      <c r="B16" s="34" t="str">
        <f>'Plan mejoramiento'!G16</f>
        <v>Meta 5.
Incrementar al 20% la asignación de tiempos de los docentes TC a la Proyección Social</v>
      </c>
      <c r="C16" s="45"/>
      <c r="D16" s="47"/>
      <c r="E16" s="49"/>
      <c r="F16" s="51"/>
      <c r="G16" s="51"/>
      <c r="H16" s="32"/>
    </row>
    <row r="17">
      <c r="A17" s="34" t="str">
        <f>'Plan mejoramiento'!C17</f>
        <v>Continuar con estrategias para aumentar el material de apoyo docente, su aplicación, y difusión.</v>
      </c>
      <c r="B17" s="34" t="str">
        <f>'Plan mejoramiento'!G17</f>
        <v>Meta 6.
Desarrollar una (1) estrategia anual para fomentar la productividad y el material de apoyo docente</v>
      </c>
      <c r="C17" s="45"/>
      <c r="D17" s="47"/>
      <c r="E17" s="49"/>
      <c r="F17" s="51"/>
      <c r="G17" s="51"/>
      <c r="H17" s="32"/>
    </row>
    <row r="18">
      <c r="A18" s="34" t="str">
        <f>'Plan mejoramiento'!C18</f>
        <v>El número de productos derivados de la participación de profesores, estudiantes y directivos del programa en redes u organismos nacionales e internacionales es bajo.</v>
      </c>
      <c r="B18" s="34" t="str">
        <f>'Plan mejoramiento'!G18</f>
        <v>Meta 7.
Incrementar al 30% la participación de los docentes en redes u organismos nacionales e internacionales para generar productos</v>
      </c>
      <c r="C18" s="45"/>
      <c r="D18" s="47"/>
      <c r="E18" s="49"/>
      <c r="F18" s="51"/>
      <c r="G18" s="51"/>
      <c r="H18" s="32"/>
    </row>
    <row r="19">
      <c r="A19" s="34" t="str">
        <f>'Plan mejoramiento'!C19</f>
        <v/>
      </c>
      <c r="B19" s="34" t="str">
        <f>'Plan mejoramiento'!G19</f>
        <v>Meta 8.
Desarrollar un (1) producto bienalmente como resultado de la articulación de redes académicas </v>
      </c>
      <c r="C19" s="45"/>
      <c r="D19" s="47"/>
      <c r="E19" s="49"/>
      <c r="F19" s="51"/>
      <c r="G19" s="51"/>
      <c r="H19" s="32"/>
    </row>
    <row r="20">
      <c r="A20" s="34" t="str">
        <f>'Plan mejoramiento'!C20</f>
        <v>Continuar promoviendo la movilidad entrante nacional e internacional y la saliente nacional</v>
      </c>
      <c r="B20" s="34" t="str">
        <f>'Plan mejoramiento'!G20</f>
        <v>Meta 9.
Realizar la movilidad de un (1) estudiante extranjero bienalmente</v>
      </c>
      <c r="C20" s="45"/>
      <c r="D20" s="47"/>
      <c r="E20" s="49"/>
      <c r="F20" s="51"/>
      <c r="G20" s="51"/>
      <c r="H20" s="32"/>
    </row>
    <row r="21" ht="140.25" customHeight="1">
      <c r="A21" s="34" t="str">
        <f>'Plan mejoramiento'!C21</f>
        <v>Aumentar la movilidad saliente de estudiantes del Programa en distintas modalidades. Aunque el Programa argumenta la reducción en este indicador, en la pandemia y el paro, es posible complementar estos resultados, estableciendo otras actividades en distintas modalidades con efectos en la visibilidad y la cooperación nacional e internacional.</v>
      </c>
      <c r="B21" s="34" t="str">
        <f>'Plan mejoramiento'!G21</f>
        <v>Meta 10.
Lograr que el 20% de estudiantes a partir del V semestre realicen movilidad saliente nacional o internacional anualmente </v>
      </c>
      <c r="C21" s="45"/>
      <c r="D21" s="47"/>
      <c r="E21" s="49"/>
      <c r="F21" s="51"/>
      <c r="G21" s="51"/>
      <c r="H21" s="32"/>
    </row>
    <row r="22" ht="108.75" customHeight="1">
      <c r="A22" s="34" t="str">
        <f>'Plan mejoramiento'!C22</f>
        <v>Persistir en acciones que permitan de manera efectiva continuar disminuyendo la deserción en el Programa. La tasa de deserción anual para 3 periodos entre 2019 y
2021 es superior al promedio nacional para nivel de formación.</v>
      </c>
      <c r="B22" s="34" t="str">
        <f>'Plan mejoramiento'!G22</f>
        <v>Meta 11.
Mantener un (1) digito la tasa deserción del programa </v>
      </c>
      <c r="C22" s="79"/>
      <c r="D22" s="47"/>
      <c r="E22" s="49"/>
      <c r="F22" s="51"/>
      <c r="G22" s="51"/>
      <c r="H22" s="32"/>
    </row>
    <row r="23" ht="148.5" customHeight="1">
      <c r="A23" s="34" t="str">
        <f>'Plan mejoramiento'!C23</f>
        <v>Continuar con la estrategia para lograr la graduación en el tiempo aprobado en el registro calificado. La tasa acumulada de graduación del Programa al semestre 13 es del 23.57% inferior al promedio nacional para el profesional universitario. Aunque es mejor con relación al proceso anterior de acreditación, aún hay una  Oportunidad de mejora significativa en el comparativo nacional con el promedio del nivel de formación.</v>
      </c>
      <c r="B23" s="34" t="str">
        <f>'Plan mejoramiento'!G23</f>
        <v>Meta 12. 
Mantener en 12,5 de semestres para la graduación</v>
      </c>
      <c r="C23" s="79"/>
      <c r="D23" s="47"/>
      <c r="E23" s="49"/>
      <c r="F23" s="51"/>
      <c r="G23" s="51"/>
      <c r="H23" s="32"/>
    </row>
    <row r="24" ht="80.25" customHeight="1">
      <c r="A24" s="34" t="str">
        <f>'Plan mejoramiento'!C24</f>
        <v>Continuar con estrategias y apoyos para mejorar la categoría de los grupos de
investigación y el reconocimiento de profesores como investigadores.</v>
      </c>
      <c r="B24" s="34" t="str">
        <f>'Plan mejoramiento'!G24</f>
        <v>Meta 13. 
Lograr que un (1) grupos de investigación suba de categoría</v>
      </c>
      <c r="C24" s="45"/>
      <c r="D24" s="47"/>
      <c r="E24" s="49"/>
      <c r="F24" s="51"/>
      <c r="G24" s="51"/>
      <c r="H24" s="32"/>
    </row>
    <row r="25" ht="60.75" customHeight="1">
      <c r="A25" s="34" t="str">
        <f>'Plan mejoramiento'!C25</f>
        <v>
Se requiere incrementar el número de registros de egresados en la base de datos</v>
      </c>
      <c r="B25" s="34" t="str">
        <f>'Plan mejoramiento'!G25</f>
        <v>Meta 14. 
Aumentar al 45% los registros actualizados de los egresados en la base de datos del Programa</v>
      </c>
      <c r="C25" s="79"/>
      <c r="D25" s="47"/>
      <c r="E25" s="49"/>
      <c r="F25" s="51"/>
      <c r="G25" s="51"/>
      <c r="H25" s="32"/>
    </row>
    <row r="26" ht="52.5" customHeight="1">
      <c r="A26" s="34" t="str">
        <f>'Plan mejoramiento'!C26</f>
        <v>Continuar robusteciendo la infraestructura de laboratorios y equipos disponibles para el Programa en las distintas líneas de profundización, tanto para la docencia,
coma para la investigación, y cumplir con el plan de mantenimiento y calibración de equipos de laboratorios de manera permanente.</v>
      </c>
      <c r="B26" s="34" t="str">
        <f>'Plan mejoramiento'!G26</f>
        <v>Meta 15. 
Construir un (1) complejo de laboratorios</v>
      </c>
      <c r="C26" s="79"/>
      <c r="D26" s="47"/>
      <c r="E26" s="49"/>
      <c r="F26" s="51"/>
      <c r="G26" s="51"/>
      <c r="H26" s="32"/>
    </row>
    <row r="27" ht="66.75" customHeight="1">
      <c r="A27" s="34" t="str">
        <f>'Plan mejoramiento'!C27</f>
        <v/>
      </c>
      <c r="B27" s="34" t="str">
        <f>'Plan mejoramiento'!G27</f>
        <v>Meta 16. 
Ejecutar el 100% del plan de adquisición de equipos de medios educativos para los laboratorios del Sistema de Gestión de Laboratorios.</v>
      </c>
      <c r="C27" s="79"/>
      <c r="D27" s="47"/>
      <c r="E27" s="49"/>
      <c r="F27" s="51"/>
      <c r="G27" s="51"/>
      <c r="H27" s="32"/>
    </row>
    <row r="28" ht="85.5" customHeight="1">
      <c r="A28" s="34" t="str">
        <f>'Plan mejoramiento'!C28</f>
        <v>Se requiere fortalecer el seguimiento de la medición de impacto que evidencie el desarrollo de las funciones misionales</v>
      </c>
      <c r="B28" s="34" t="str">
        <f>'Plan mejoramiento'!G28</f>
        <v>Meta 17. 
Obtener el nivel de cumplimiento mayor o igual al 80% en la medición del impacto</v>
      </c>
      <c r="C28" s="79"/>
      <c r="D28" s="47"/>
      <c r="E28" s="49"/>
      <c r="F28" s="51"/>
      <c r="G28" s="51"/>
      <c r="H28" s="32"/>
    </row>
  </sheetData>
  <mergeCells count="23">
    <mergeCell ref="F6:G6"/>
    <mergeCell ref="B7:E7"/>
    <mergeCell ref="D8:E8"/>
    <mergeCell ref="F8:G8"/>
    <mergeCell ref="A1:A3"/>
    <mergeCell ref="B1:G1"/>
    <mergeCell ref="B2:G2"/>
    <mergeCell ref="B3:C3"/>
    <mergeCell ref="E3:F3"/>
    <mergeCell ref="B4:E4"/>
    <mergeCell ref="F5:G5"/>
    <mergeCell ref="D11:D13"/>
    <mergeCell ref="E11:E13"/>
    <mergeCell ref="F11:F13"/>
    <mergeCell ref="G11:G13"/>
    <mergeCell ref="B5:C5"/>
    <mergeCell ref="B6:C6"/>
    <mergeCell ref="A8:A9"/>
    <mergeCell ref="B8:B9"/>
    <mergeCell ref="C8:C9"/>
    <mergeCell ref="B11:B13"/>
    <mergeCell ref="C11:C13"/>
    <mergeCell ref="A12:A13"/>
  </mergeCells>
  <conditionalFormatting sqref="C10:C28">
    <cfRule type="expression" dxfId="0" priority="1">
      <formula>$C$10=""</formula>
    </cfRule>
  </conditionalFormatting>
  <conditionalFormatting sqref="D10:D28">
    <cfRule type="expression" dxfId="0" priority="2">
      <formula>$D$10=""</formula>
    </cfRule>
  </conditionalFormatting>
  <conditionalFormatting sqref="E10:E28">
    <cfRule type="expression" dxfId="0" priority="3">
      <formula>$E$10=""</formula>
    </cfRule>
  </conditionalFormatting>
  <conditionalFormatting sqref="F10:G28">
    <cfRule type="expression" dxfId="1" priority="4">
      <formula>$F$10=""</formula>
    </cfRule>
  </conditionalFormatting>
  <conditionalFormatting sqref="C10:C28">
    <cfRule type="cellIs" dxfId="2" priority="5" operator="greaterThan">
      <formula>1</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0"/>
  <cols>
    <col customWidth="1" min="1" max="1" width="26.75"/>
    <col customWidth="1" min="2" max="2" width="34.25"/>
    <col customWidth="1" min="3" max="3" width="12.75"/>
    <col customWidth="1" min="4" max="4" width="48.63"/>
    <col customWidth="1" min="5" max="5" width="15.5"/>
    <col customWidth="1" min="6" max="6" width="24.88"/>
    <col customWidth="1" min="7" max="7" width="21.75"/>
    <col customWidth="1" min="8" max="8" width="1.13"/>
  </cols>
  <sheetData>
    <row r="1" ht="15.75" customHeight="1">
      <c r="A1" s="2"/>
      <c r="B1" s="3" t="s">
        <v>0</v>
      </c>
      <c r="C1" s="4"/>
      <c r="D1" s="4"/>
      <c r="E1" s="4"/>
      <c r="F1" s="4"/>
      <c r="G1" s="6"/>
      <c r="H1" s="7"/>
    </row>
    <row r="2" ht="15.75" customHeight="1">
      <c r="A2" s="8"/>
      <c r="B2" s="9" t="s">
        <v>1</v>
      </c>
      <c r="C2" s="4"/>
      <c r="D2" s="4"/>
      <c r="E2" s="4"/>
      <c r="F2" s="4"/>
      <c r="G2" s="6"/>
      <c r="H2" s="10"/>
    </row>
    <row r="3" ht="15.75" customHeight="1">
      <c r="A3" s="11"/>
      <c r="B3" s="12" t="s">
        <v>286</v>
      </c>
      <c r="C3" s="6"/>
      <c r="D3" s="13" t="s">
        <v>287</v>
      </c>
      <c r="E3" s="16" t="s">
        <v>288</v>
      </c>
      <c r="F3" s="6"/>
      <c r="G3" s="13" t="s">
        <v>289</v>
      </c>
      <c r="H3" s="10"/>
    </row>
    <row r="4" ht="2.25" customHeight="1">
      <c r="A4" s="5"/>
      <c r="B4" s="5"/>
      <c r="F4" s="5"/>
      <c r="G4" s="5"/>
      <c r="H4" s="5"/>
    </row>
    <row r="5">
      <c r="A5" s="18" t="s">
        <v>12</v>
      </c>
      <c r="B5" s="22" t="str">
        <f>IF('Plan mejoramiento'!B5="","",'Plan mejoramiento'!B5)</f>
        <v>De programa</v>
      </c>
      <c r="C5" s="6"/>
      <c r="D5" s="25" t="str">
        <f>IF('Plan mejoramiento'!E5="","",CONCATENATE('Plan mejoramiento'!D5," ",'Plan mejoramiento'!E5))</f>
        <v>Programa: Ingeniería Electrónica</v>
      </c>
      <c r="E5" s="26"/>
      <c r="F5" s="27"/>
      <c r="H5" s="1"/>
    </row>
    <row r="6">
      <c r="A6" s="18" t="str">
        <f>'Plan mejoramiento'!A6</f>
        <v>Facultad:</v>
      </c>
      <c r="B6" s="30" t="str">
        <f>'Plan mejoramiento'!B6</f>
        <v>Facultad de Ciencias Básicas e Ingeniería</v>
      </c>
      <c r="C6" s="31"/>
      <c r="D6" s="25" t="str">
        <f>IF('Plan mejoramiento'!J6="","",CONCATENATE('Plan mejoramiento'!J6," ",#REF!))</f>
        <v>#REF!</v>
      </c>
      <c r="E6" s="26"/>
      <c r="F6" s="27"/>
      <c r="H6" s="1"/>
    </row>
    <row r="7" ht="2.25" customHeight="1">
      <c r="A7" s="1"/>
      <c r="B7" s="1"/>
      <c r="F7" s="1"/>
      <c r="G7" s="1"/>
      <c r="H7" s="1"/>
    </row>
    <row r="8">
      <c r="A8" s="35" t="str">
        <f>'Plan mejoramiento'!C8</f>
        <v>Descripción de la oportunidad de mejora</v>
      </c>
      <c r="B8" s="35" t="str">
        <f>'Plan mejoramiento'!G8</f>
        <v>Meta de la oportunidad de mejora</v>
      </c>
      <c r="C8" s="37" t="s">
        <v>33</v>
      </c>
      <c r="D8" s="39" t="s">
        <v>34</v>
      </c>
      <c r="E8" s="4"/>
      <c r="F8" s="40" t="s">
        <v>35</v>
      </c>
      <c r="G8" s="6"/>
      <c r="H8" s="1"/>
    </row>
    <row r="9" ht="35.25" customHeight="1">
      <c r="A9" s="11"/>
      <c r="B9" s="11"/>
      <c r="C9" s="11"/>
      <c r="D9" s="42" t="s">
        <v>39</v>
      </c>
      <c r="E9" s="43" t="s">
        <v>40</v>
      </c>
      <c r="F9" s="44" t="s">
        <v>291</v>
      </c>
      <c r="G9" s="44" t="s">
        <v>43</v>
      </c>
      <c r="H9" s="1"/>
    </row>
    <row r="10" ht="88.5" customHeight="1">
      <c r="A10" s="34" t="str">
        <f>'Plan mejoramiento'!C10</f>
        <v>Continuar con estrategias para lograr que los resultados de la prueba Saber Pro sean mayores en todas las competencias ai promedio obtenido por los estudiantes
del grupo de referencia NBC.
</v>
      </c>
      <c r="B10" s="34" t="str">
        <f>'Plan mejoramiento'!G10</f>
        <v>Meta 1.
Mantener cinco (5) puntos por encima de los resultados de la prueba Saber Pro del grupo de referencia </v>
      </c>
      <c r="C10" s="45"/>
      <c r="D10" s="47"/>
      <c r="E10" s="49"/>
      <c r="F10" s="51"/>
      <c r="G10" s="51"/>
      <c r="H10" s="32"/>
    </row>
    <row r="11">
      <c r="A11" s="34" t="str">
        <f>'Plan mejoramiento'!C11</f>
        <v>Mantener la participación en las actividades de Bienestar de un porcentaje significativo de estudiantes del Programa en cada periodo, dada la importancia declarada por la institución, en el desarrollo integral y en la permanencia.</v>
      </c>
      <c r="B11" s="53" t="str">
        <f>'Plan mejoramiento'!G11</f>
        <v>Meta 2a.2b, 2c
Incrementar al 60% la participación de la comunidad del programa en actividades de bienestar institucional </v>
      </c>
      <c r="C11" s="54"/>
      <c r="D11" s="56"/>
      <c r="E11" s="58"/>
      <c r="F11" s="60"/>
      <c r="G11" s="60"/>
      <c r="H11" s="32"/>
    </row>
    <row r="12" ht="34.5" customHeight="1">
      <c r="A12" s="53" t="str">
        <f>'Plan mejoramiento'!C12</f>
        <v>Bajo porcentaje de profesores y administrativos en actividades de Bienestar</v>
      </c>
      <c r="B12" s="8"/>
      <c r="C12" s="8"/>
      <c r="D12" s="8"/>
      <c r="E12" s="8"/>
      <c r="F12" s="8"/>
      <c r="G12" s="8"/>
      <c r="H12" s="32"/>
    </row>
    <row r="13" ht="54.75" customHeight="1">
      <c r="A13" s="11"/>
      <c r="B13" s="11"/>
      <c r="C13" s="11"/>
      <c r="D13" s="11"/>
      <c r="E13" s="11"/>
      <c r="F13" s="11"/>
      <c r="G13" s="11"/>
      <c r="H13" s="32"/>
    </row>
    <row r="14">
      <c r="A14" s="34" t="str">
        <f>'Plan mejoramiento'!C14</f>
        <v>El número de profesores no es suficiente para las necesidades del programa en relación con el número de estudiantes.</v>
      </c>
      <c r="B14" s="34" t="str">
        <f>'Plan mejoramiento'!G14</f>
        <v>Meta 3.
Desarrollar una (1) convocatoria de planta docente </v>
      </c>
      <c r="C14" s="45"/>
      <c r="D14" s="47"/>
      <c r="E14" s="49"/>
      <c r="F14" s="51"/>
      <c r="G14" s="51"/>
      <c r="H14" s="32"/>
    </row>
    <row r="15">
      <c r="A15" s="34" t="str">
        <f>'Plan mejoramiento'!C15</f>
        <v>Los tiempos de dedicación a las funciones misionales no cumplen con lo establecido en los indicadores del programa.</v>
      </c>
      <c r="B15" s="34" t="str">
        <f>'Plan mejoramiento'!G15</f>
        <v>Meta 4.
Incrementar al 25% la asignación de tiempos de los docentes TC a la investigación</v>
      </c>
      <c r="C15" s="45"/>
      <c r="D15" s="47"/>
      <c r="E15" s="49"/>
      <c r="F15" s="51"/>
      <c r="G15" s="51"/>
      <c r="H15" s="32"/>
    </row>
    <row r="16">
      <c r="A16" s="34" t="str">
        <f>'Plan mejoramiento'!C16</f>
        <v/>
      </c>
      <c r="B16" s="34" t="str">
        <f>'Plan mejoramiento'!G16</f>
        <v>Meta 5.
Incrementar al 20% la asignación de tiempos de los docentes TC a la Proyección Social</v>
      </c>
      <c r="C16" s="45"/>
      <c r="D16" s="47"/>
      <c r="E16" s="49"/>
      <c r="F16" s="51"/>
      <c r="G16" s="51"/>
      <c r="H16" s="32"/>
    </row>
    <row r="17">
      <c r="A17" s="34" t="str">
        <f>'Plan mejoramiento'!C17</f>
        <v>Continuar con estrategias para aumentar el material de apoyo docente, su aplicación, y difusión.</v>
      </c>
      <c r="B17" s="34" t="str">
        <f>'Plan mejoramiento'!G17</f>
        <v>Meta 6.
Desarrollar una (1) estrategia anual para fomentar la productividad y el material de apoyo docente</v>
      </c>
      <c r="C17" s="45"/>
      <c r="D17" s="47"/>
      <c r="E17" s="49"/>
      <c r="F17" s="51"/>
      <c r="G17" s="51"/>
      <c r="H17" s="32"/>
    </row>
    <row r="18">
      <c r="A18" s="34" t="str">
        <f>'Plan mejoramiento'!C18</f>
        <v>El número de productos derivados de la participación de profesores, estudiantes y directivos del programa en redes u organismos nacionales e internacionales es bajo.</v>
      </c>
      <c r="B18" s="34" t="str">
        <f>'Plan mejoramiento'!G18</f>
        <v>Meta 7.
Incrementar al 30% la participación de los docentes en redes u organismos nacionales e internacionales para generar productos</v>
      </c>
      <c r="C18" s="45"/>
      <c r="D18" s="47"/>
      <c r="E18" s="49"/>
      <c r="F18" s="51"/>
      <c r="G18" s="51"/>
      <c r="H18" s="32"/>
    </row>
    <row r="19">
      <c r="A19" s="34" t="str">
        <f>'Plan mejoramiento'!C19</f>
        <v/>
      </c>
      <c r="B19" s="34" t="str">
        <f>'Plan mejoramiento'!G19</f>
        <v>Meta 8.
Desarrollar un (1) producto bienalmente como resultado de la articulación de redes académicas </v>
      </c>
      <c r="C19" s="45"/>
      <c r="D19" s="47"/>
      <c r="E19" s="49"/>
      <c r="F19" s="51"/>
      <c r="G19" s="51"/>
      <c r="H19" s="32"/>
    </row>
    <row r="20">
      <c r="A20" s="34" t="str">
        <f>'Plan mejoramiento'!C20</f>
        <v>Continuar promoviendo la movilidad entrante nacional e internacional y la saliente nacional</v>
      </c>
      <c r="B20" s="34" t="str">
        <f>'Plan mejoramiento'!G20</f>
        <v>Meta 9.
Realizar la movilidad de un (1) estudiante extranjero bienalmente</v>
      </c>
      <c r="C20" s="45"/>
      <c r="D20" s="47"/>
      <c r="E20" s="49"/>
      <c r="F20" s="51"/>
      <c r="G20" s="51"/>
      <c r="H20" s="32"/>
    </row>
    <row r="21" ht="140.25" customHeight="1">
      <c r="A21" s="34" t="str">
        <f>'Plan mejoramiento'!C21</f>
        <v>Aumentar la movilidad saliente de estudiantes del Programa en distintas modalidades. Aunque el Programa argumenta la reducción en este indicador, en la pandemia y el paro, es posible complementar estos resultados, estableciendo otras actividades en distintas modalidades con efectos en la visibilidad y la cooperación nacional e internacional.</v>
      </c>
      <c r="B21" s="34" t="str">
        <f>'Plan mejoramiento'!G21</f>
        <v>Meta 10.
Lograr que el 20% de estudiantes a partir del V semestre realicen movilidad saliente nacional o internacional anualmente </v>
      </c>
      <c r="C21" s="45"/>
      <c r="D21" s="47"/>
      <c r="E21" s="49"/>
      <c r="F21" s="51"/>
      <c r="G21" s="51"/>
      <c r="H21" s="32"/>
    </row>
    <row r="22" ht="108.75" customHeight="1">
      <c r="A22" s="34" t="str">
        <f>'Plan mejoramiento'!C22</f>
        <v>Persistir en acciones que permitan de manera efectiva continuar disminuyendo la deserción en el Programa. La tasa de deserción anual para 3 periodos entre 2019 y
2021 es superior al promedio nacional para nivel de formación.</v>
      </c>
      <c r="B22" s="34" t="str">
        <f>'Plan mejoramiento'!G22</f>
        <v>Meta 11.
Mantener un (1) digito la tasa deserción del programa </v>
      </c>
      <c r="C22" s="79"/>
      <c r="D22" s="47"/>
      <c r="E22" s="49"/>
      <c r="F22" s="51"/>
      <c r="G22" s="51"/>
      <c r="H22" s="32"/>
    </row>
    <row r="23" ht="148.5" customHeight="1">
      <c r="A23" s="34" t="str">
        <f>'Plan mejoramiento'!C23</f>
        <v>Continuar con la estrategia para lograr la graduación en el tiempo aprobado en el registro calificado. La tasa acumulada de graduación del Programa al semestre 13 es del 23.57% inferior al promedio nacional para el profesional universitario. Aunque es mejor con relación al proceso anterior de acreditación, aún hay una  Oportunidad de mejora significativa en el comparativo nacional con el promedio del nivel de formación.</v>
      </c>
      <c r="B23" s="34" t="str">
        <f>'Plan mejoramiento'!G23</f>
        <v>Meta 12. 
Mantener en 12,5 de semestres para la graduación</v>
      </c>
      <c r="C23" s="79"/>
      <c r="D23" s="47"/>
      <c r="E23" s="49"/>
      <c r="F23" s="51"/>
      <c r="G23" s="51"/>
      <c r="H23" s="32"/>
    </row>
    <row r="24" ht="80.25" customHeight="1">
      <c r="A24" s="34" t="str">
        <f>'Plan mejoramiento'!C24</f>
        <v>Continuar con estrategias y apoyos para mejorar la categoría de los grupos de
investigación y el reconocimiento de profesores como investigadores.</v>
      </c>
      <c r="B24" s="34" t="str">
        <f>'Plan mejoramiento'!G24</f>
        <v>Meta 13. 
Lograr que un (1) grupos de investigación suba de categoría</v>
      </c>
      <c r="C24" s="45"/>
      <c r="D24" s="47"/>
      <c r="E24" s="49"/>
      <c r="F24" s="51"/>
      <c r="G24" s="51"/>
      <c r="H24" s="32"/>
    </row>
    <row r="25" ht="60.75" customHeight="1">
      <c r="A25" s="34" t="str">
        <f>'Plan mejoramiento'!C25</f>
        <v>
Se requiere incrementar el número de registros de egresados en la base de datos</v>
      </c>
      <c r="B25" s="34" t="str">
        <f>'Plan mejoramiento'!G25</f>
        <v>Meta 14. 
Aumentar al 45% los registros actualizados de los egresados en la base de datos del Programa</v>
      </c>
      <c r="C25" s="79"/>
      <c r="D25" s="47"/>
      <c r="E25" s="49"/>
      <c r="F25" s="51"/>
      <c r="G25" s="51"/>
      <c r="H25" s="32"/>
    </row>
    <row r="26" ht="52.5" customHeight="1">
      <c r="A26" s="34" t="str">
        <f>'Plan mejoramiento'!C26</f>
        <v>Continuar robusteciendo la infraestructura de laboratorios y equipos disponibles para el Programa en las distintas líneas de profundización, tanto para la docencia,
coma para la investigación, y cumplir con el plan de mantenimiento y calibración de equipos de laboratorios de manera permanente.</v>
      </c>
      <c r="B26" s="34" t="str">
        <f>'Plan mejoramiento'!G26</f>
        <v>Meta 15. 
Construir un (1) complejo de laboratorios</v>
      </c>
      <c r="C26" s="79"/>
      <c r="D26" s="47"/>
      <c r="E26" s="49"/>
      <c r="F26" s="51"/>
      <c r="G26" s="51"/>
      <c r="H26" s="32"/>
    </row>
    <row r="27" ht="66.75" customHeight="1">
      <c r="A27" s="34" t="str">
        <f>'Plan mejoramiento'!C27</f>
        <v/>
      </c>
      <c r="B27" s="34" t="str">
        <f>'Plan mejoramiento'!G27</f>
        <v>Meta 16. 
Ejecutar el 100% del plan de adquisición de equipos de medios educativos para los laboratorios del Sistema de Gestión de Laboratorios.</v>
      </c>
      <c r="C27" s="79"/>
      <c r="D27" s="47"/>
      <c r="E27" s="49"/>
      <c r="F27" s="51"/>
      <c r="G27" s="51"/>
      <c r="H27" s="32"/>
    </row>
    <row r="28" ht="85.5" customHeight="1">
      <c r="A28" s="34" t="str">
        <f>'Plan mejoramiento'!C28</f>
        <v>Se requiere fortalecer el seguimiento de la medición de impacto que evidencie el desarrollo de las funciones misionales</v>
      </c>
      <c r="B28" s="34" t="str">
        <f>'Plan mejoramiento'!G28</f>
        <v>Meta 17. 
Obtener el nivel de cumplimiento mayor o igual al 80% en la medición del impacto</v>
      </c>
      <c r="C28" s="79"/>
      <c r="D28" s="47"/>
      <c r="E28" s="49"/>
      <c r="F28" s="51"/>
      <c r="G28" s="51"/>
      <c r="H28" s="32"/>
    </row>
  </sheetData>
  <mergeCells count="23">
    <mergeCell ref="F6:G6"/>
    <mergeCell ref="B7:E7"/>
    <mergeCell ref="D8:E8"/>
    <mergeCell ref="F8:G8"/>
    <mergeCell ref="A1:A3"/>
    <mergeCell ref="B1:G1"/>
    <mergeCell ref="B2:G2"/>
    <mergeCell ref="B3:C3"/>
    <mergeCell ref="E3:F3"/>
    <mergeCell ref="B4:E4"/>
    <mergeCell ref="F5:G5"/>
    <mergeCell ref="D11:D13"/>
    <mergeCell ref="E11:E13"/>
    <mergeCell ref="F11:F13"/>
    <mergeCell ref="G11:G13"/>
    <mergeCell ref="B5:C5"/>
    <mergeCell ref="B6:C6"/>
    <mergeCell ref="A8:A9"/>
    <mergeCell ref="B8:B9"/>
    <mergeCell ref="C8:C9"/>
    <mergeCell ref="B11:B13"/>
    <mergeCell ref="C11:C13"/>
    <mergeCell ref="A12:A13"/>
  </mergeCells>
  <conditionalFormatting sqref="C10:C28">
    <cfRule type="expression" dxfId="0" priority="1">
      <formula>$C$10=""</formula>
    </cfRule>
  </conditionalFormatting>
  <conditionalFormatting sqref="D10:D28">
    <cfRule type="expression" dxfId="0" priority="2">
      <formula>$D$10=""</formula>
    </cfRule>
  </conditionalFormatting>
  <conditionalFormatting sqref="E10:E28">
    <cfRule type="expression" dxfId="0" priority="3">
      <formula>$E$10=""</formula>
    </cfRule>
  </conditionalFormatting>
  <conditionalFormatting sqref="F10:G28">
    <cfRule type="expression" dxfId="1" priority="4">
      <formula>$F$10=""</formula>
    </cfRule>
  </conditionalFormatting>
  <conditionalFormatting sqref="C10:C28">
    <cfRule type="cellIs" dxfId="2" priority="5" operator="greaterThan">
      <formula>1</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0F00"/>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0"/>
  <cols>
    <col customWidth="1" min="1" max="1" width="26.75"/>
    <col customWidth="1" min="2" max="2" width="34.25"/>
    <col customWidth="1" min="3" max="3" width="12.75"/>
    <col customWidth="1" min="4" max="4" width="48.63"/>
    <col customWidth="1" min="5" max="5" width="15.5"/>
    <col customWidth="1" min="6" max="6" width="24.88"/>
    <col customWidth="1" min="7" max="7" width="21.75"/>
    <col customWidth="1" min="8" max="8" width="1.13"/>
  </cols>
  <sheetData>
    <row r="1" ht="15.75" customHeight="1">
      <c r="A1" s="2"/>
      <c r="B1" s="3" t="s">
        <v>0</v>
      </c>
      <c r="C1" s="4"/>
      <c r="D1" s="4"/>
      <c r="E1" s="4"/>
      <c r="F1" s="4"/>
      <c r="G1" s="6"/>
      <c r="H1" s="7"/>
    </row>
    <row r="2" ht="15.75" customHeight="1">
      <c r="A2" s="8"/>
      <c r="B2" s="9" t="s">
        <v>1</v>
      </c>
      <c r="C2" s="4"/>
      <c r="D2" s="4"/>
      <c r="E2" s="4"/>
      <c r="F2" s="4"/>
      <c r="G2" s="6"/>
      <c r="H2" s="10"/>
    </row>
    <row r="3" ht="15.75" customHeight="1">
      <c r="A3" s="11"/>
      <c r="B3" s="12" t="s">
        <v>292</v>
      </c>
      <c r="C3" s="6"/>
      <c r="D3" s="13" t="s">
        <v>293</v>
      </c>
      <c r="E3" s="16" t="s">
        <v>294</v>
      </c>
      <c r="F3" s="6"/>
      <c r="G3" s="13" t="s">
        <v>295</v>
      </c>
      <c r="H3" s="10"/>
    </row>
    <row r="4" ht="2.25" customHeight="1">
      <c r="A4" s="5"/>
      <c r="B4" s="5"/>
      <c r="F4" s="5"/>
      <c r="G4" s="5"/>
      <c r="H4" s="5"/>
    </row>
    <row r="5">
      <c r="A5" s="18" t="s">
        <v>12</v>
      </c>
      <c r="B5" s="22" t="str">
        <f>IF('Plan mejoramiento'!B5="","",'Plan mejoramiento'!B5)</f>
        <v>De programa</v>
      </c>
      <c r="C5" s="6"/>
      <c r="D5" s="25" t="str">
        <f>IF('Plan mejoramiento'!E5="","",CONCATENATE('Plan mejoramiento'!D5," ",'Plan mejoramiento'!E5))</f>
        <v>Programa: Ingeniería Electrónica</v>
      </c>
      <c r="E5" s="26"/>
      <c r="F5" s="27"/>
      <c r="H5" s="1"/>
    </row>
    <row r="6">
      <c r="A6" s="18" t="str">
        <f>'Plan mejoramiento'!A6</f>
        <v>Facultad:</v>
      </c>
      <c r="B6" s="30" t="str">
        <f>'Plan mejoramiento'!B6</f>
        <v>Facultad de Ciencias Básicas e Ingeniería</v>
      </c>
      <c r="C6" s="31"/>
      <c r="D6" s="25" t="str">
        <f>IF('Plan mejoramiento'!J6="","",CONCATENATE('Plan mejoramiento'!J6," ",#REF!))</f>
        <v>#REF!</v>
      </c>
      <c r="E6" s="26"/>
      <c r="F6" s="27"/>
      <c r="H6" s="1"/>
    </row>
    <row r="7" ht="2.25" customHeight="1">
      <c r="A7" s="1"/>
      <c r="B7" s="1"/>
      <c r="F7" s="1"/>
      <c r="G7" s="1"/>
      <c r="H7" s="1"/>
    </row>
    <row r="8">
      <c r="A8" s="35" t="str">
        <f>'Plan mejoramiento'!C8</f>
        <v>Descripción de la oportunidad de mejora</v>
      </c>
      <c r="B8" s="35" t="str">
        <f>'Plan mejoramiento'!G8</f>
        <v>Meta de la oportunidad de mejora</v>
      </c>
      <c r="C8" s="37" t="s">
        <v>33</v>
      </c>
      <c r="D8" s="39" t="s">
        <v>34</v>
      </c>
      <c r="E8" s="4"/>
      <c r="F8" s="40" t="s">
        <v>35</v>
      </c>
      <c r="G8" s="6"/>
      <c r="H8" s="1"/>
    </row>
    <row r="9" ht="35.25" customHeight="1">
      <c r="A9" s="11"/>
      <c r="B9" s="11"/>
      <c r="C9" s="11"/>
      <c r="D9" s="42" t="s">
        <v>39</v>
      </c>
      <c r="E9" s="43" t="s">
        <v>40</v>
      </c>
      <c r="F9" s="44" t="s">
        <v>302</v>
      </c>
      <c r="G9" s="44" t="s">
        <v>43</v>
      </c>
      <c r="H9" s="1"/>
    </row>
    <row r="10" ht="88.5" customHeight="1">
      <c r="A10" s="34" t="str">
        <f>'Plan mejoramiento'!C10</f>
        <v>Continuar con estrategias para lograr que los resultados de la prueba Saber Pro sean mayores en todas las competencias ai promedio obtenido por los estudiantes
del grupo de referencia NBC.
</v>
      </c>
      <c r="B10" s="34" t="str">
        <f>'Plan mejoramiento'!G10</f>
        <v>Meta 1.
Mantener cinco (5) puntos por encima de los resultados de la prueba Saber Pro del grupo de referencia </v>
      </c>
      <c r="C10" s="45"/>
      <c r="D10" s="47"/>
      <c r="E10" s="49"/>
      <c r="F10" s="51"/>
      <c r="G10" s="51"/>
      <c r="H10" s="32"/>
    </row>
    <row r="11">
      <c r="A11" s="34" t="str">
        <f>'Plan mejoramiento'!C11</f>
        <v>Mantener la participación en las actividades de Bienestar de un porcentaje significativo de estudiantes del Programa en cada periodo, dada la importancia declarada por la institución, en el desarrollo integral y en la permanencia.</v>
      </c>
      <c r="B11" s="53" t="str">
        <f>'Plan mejoramiento'!G11</f>
        <v>Meta 2a.2b, 2c
Incrementar al 60% la participación de la comunidad del programa en actividades de bienestar institucional </v>
      </c>
      <c r="C11" s="54"/>
      <c r="D11" s="56"/>
      <c r="E11" s="58"/>
      <c r="F11" s="60"/>
      <c r="G11" s="60"/>
      <c r="H11" s="32"/>
    </row>
    <row r="12" ht="34.5" customHeight="1">
      <c r="A12" s="53" t="str">
        <f>'Plan mejoramiento'!C12</f>
        <v>Bajo porcentaje de profesores y administrativos en actividades de Bienestar</v>
      </c>
      <c r="B12" s="8"/>
      <c r="C12" s="8"/>
      <c r="D12" s="8"/>
      <c r="E12" s="8"/>
      <c r="F12" s="8"/>
      <c r="G12" s="8"/>
      <c r="H12" s="32"/>
    </row>
    <row r="13" ht="54.75" customHeight="1">
      <c r="A13" s="11"/>
      <c r="B13" s="11"/>
      <c r="C13" s="11"/>
      <c r="D13" s="11"/>
      <c r="E13" s="11"/>
      <c r="F13" s="11"/>
      <c r="G13" s="11"/>
      <c r="H13" s="32"/>
    </row>
    <row r="14">
      <c r="A14" s="34" t="str">
        <f>'Plan mejoramiento'!C14</f>
        <v>El número de profesores no es suficiente para las necesidades del programa en relación con el número de estudiantes.</v>
      </c>
      <c r="B14" s="34" t="str">
        <f>'Plan mejoramiento'!G14</f>
        <v>Meta 3.
Desarrollar una (1) convocatoria de planta docente </v>
      </c>
      <c r="C14" s="45"/>
      <c r="D14" s="47"/>
      <c r="E14" s="49"/>
      <c r="F14" s="51"/>
      <c r="G14" s="51"/>
      <c r="H14" s="32"/>
    </row>
    <row r="15">
      <c r="A15" s="34" t="str">
        <f>'Plan mejoramiento'!C15</f>
        <v>Los tiempos de dedicación a las funciones misionales no cumplen con lo establecido en los indicadores del programa.</v>
      </c>
      <c r="B15" s="34" t="str">
        <f>'Plan mejoramiento'!G15</f>
        <v>Meta 4.
Incrementar al 25% la asignación de tiempos de los docentes TC a la investigación</v>
      </c>
      <c r="C15" s="45"/>
      <c r="D15" s="47"/>
      <c r="E15" s="49"/>
      <c r="F15" s="51"/>
      <c r="G15" s="51"/>
      <c r="H15" s="32"/>
    </row>
    <row r="16">
      <c r="A16" s="34" t="str">
        <f>'Plan mejoramiento'!C16</f>
        <v/>
      </c>
      <c r="B16" s="34" t="str">
        <f>'Plan mejoramiento'!G16</f>
        <v>Meta 5.
Incrementar al 20% la asignación de tiempos de los docentes TC a la Proyección Social</v>
      </c>
      <c r="C16" s="45"/>
      <c r="D16" s="47"/>
      <c r="E16" s="49"/>
      <c r="F16" s="51"/>
      <c r="G16" s="51"/>
      <c r="H16" s="32"/>
    </row>
    <row r="17">
      <c r="A17" s="34" t="str">
        <f>'Plan mejoramiento'!C17</f>
        <v>Continuar con estrategias para aumentar el material de apoyo docente, su aplicación, y difusión.</v>
      </c>
      <c r="B17" s="34" t="str">
        <f>'Plan mejoramiento'!G17</f>
        <v>Meta 6.
Desarrollar una (1) estrategia anual para fomentar la productividad y el material de apoyo docente</v>
      </c>
      <c r="C17" s="45"/>
      <c r="D17" s="47"/>
      <c r="E17" s="49"/>
      <c r="F17" s="51"/>
      <c r="G17" s="51"/>
      <c r="H17" s="32"/>
    </row>
    <row r="18">
      <c r="A18" s="34" t="str">
        <f>'Plan mejoramiento'!C18</f>
        <v>El número de productos derivados de la participación de profesores, estudiantes y directivos del programa en redes u organismos nacionales e internacionales es bajo.</v>
      </c>
      <c r="B18" s="34" t="str">
        <f>'Plan mejoramiento'!G18</f>
        <v>Meta 7.
Incrementar al 30% la participación de los docentes en redes u organismos nacionales e internacionales para generar productos</v>
      </c>
      <c r="C18" s="45"/>
      <c r="D18" s="47"/>
      <c r="E18" s="49"/>
      <c r="F18" s="51"/>
      <c r="G18" s="51"/>
      <c r="H18" s="32"/>
    </row>
    <row r="19">
      <c r="A19" s="34" t="str">
        <f>'Plan mejoramiento'!C19</f>
        <v/>
      </c>
      <c r="B19" s="34" t="str">
        <f>'Plan mejoramiento'!G19</f>
        <v>Meta 8.
Desarrollar un (1) producto bienalmente como resultado de la articulación de redes académicas </v>
      </c>
      <c r="C19" s="45"/>
      <c r="D19" s="47"/>
      <c r="E19" s="49"/>
      <c r="F19" s="51"/>
      <c r="G19" s="51"/>
      <c r="H19" s="32"/>
    </row>
    <row r="20">
      <c r="A20" s="34" t="str">
        <f>'Plan mejoramiento'!C20</f>
        <v>Continuar promoviendo la movilidad entrante nacional e internacional y la saliente nacional</v>
      </c>
      <c r="B20" s="34" t="str">
        <f>'Plan mejoramiento'!G20</f>
        <v>Meta 9.
Realizar la movilidad de un (1) estudiante extranjero bienalmente</v>
      </c>
      <c r="C20" s="45"/>
      <c r="D20" s="47"/>
      <c r="E20" s="49"/>
      <c r="F20" s="51"/>
      <c r="G20" s="51"/>
      <c r="H20" s="32"/>
    </row>
    <row r="21" ht="140.25" customHeight="1">
      <c r="A21" s="34" t="str">
        <f>'Plan mejoramiento'!C21</f>
        <v>Aumentar la movilidad saliente de estudiantes del Programa en distintas modalidades. Aunque el Programa argumenta la reducción en este indicador, en la pandemia y el paro, es posible complementar estos resultados, estableciendo otras actividades en distintas modalidades con efectos en la visibilidad y la cooperación nacional e internacional.</v>
      </c>
      <c r="B21" s="34" t="str">
        <f>'Plan mejoramiento'!G21</f>
        <v>Meta 10.
Lograr que el 20% de estudiantes a partir del V semestre realicen movilidad saliente nacional o internacional anualmente </v>
      </c>
      <c r="C21" s="45"/>
      <c r="D21" s="47"/>
      <c r="E21" s="49"/>
      <c r="F21" s="51"/>
      <c r="G21" s="51"/>
      <c r="H21" s="32"/>
    </row>
    <row r="22" ht="108.75" customHeight="1">
      <c r="A22" s="34" t="str">
        <f>'Plan mejoramiento'!C22</f>
        <v>Persistir en acciones que permitan de manera efectiva continuar disminuyendo la deserción en el Programa. La tasa de deserción anual para 3 periodos entre 2019 y
2021 es superior al promedio nacional para nivel de formación.</v>
      </c>
      <c r="B22" s="34" t="str">
        <f>'Plan mejoramiento'!G22</f>
        <v>Meta 11.
Mantener un (1) digito la tasa deserción del programa </v>
      </c>
      <c r="C22" s="79"/>
      <c r="D22" s="47"/>
      <c r="E22" s="49"/>
      <c r="F22" s="51"/>
      <c r="G22" s="51"/>
      <c r="H22" s="32"/>
    </row>
    <row r="23" ht="148.5" customHeight="1">
      <c r="A23" s="34" t="str">
        <f>'Plan mejoramiento'!C23</f>
        <v>Continuar con la estrategia para lograr la graduación en el tiempo aprobado en el registro calificado. La tasa acumulada de graduación del Programa al semestre 13 es del 23.57% inferior al promedio nacional para el profesional universitario. Aunque es mejor con relación al proceso anterior de acreditación, aún hay una  Oportunidad de mejora significativa en el comparativo nacional con el promedio del nivel de formación.</v>
      </c>
      <c r="B23" s="34" t="str">
        <f>'Plan mejoramiento'!G23</f>
        <v>Meta 12. 
Mantener en 12,5 de semestres para la graduación</v>
      </c>
      <c r="C23" s="79"/>
      <c r="D23" s="47"/>
      <c r="E23" s="49"/>
      <c r="F23" s="51"/>
      <c r="G23" s="51"/>
      <c r="H23" s="32"/>
    </row>
    <row r="24" ht="80.25" customHeight="1">
      <c r="A24" s="34" t="str">
        <f>'Plan mejoramiento'!C24</f>
        <v>Continuar con estrategias y apoyos para mejorar la categoría de los grupos de
investigación y el reconocimiento de profesores como investigadores.</v>
      </c>
      <c r="B24" s="34" t="str">
        <f>'Plan mejoramiento'!G24</f>
        <v>Meta 13. 
Lograr que un (1) grupos de investigación suba de categoría</v>
      </c>
      <c r="C24" s="45"/>
      <c r="D24" s="47"/>
      <c r="E24" s="49"/>
      <c r="F24" s="51"/>
      <c r="G24" s="51"/>
      <c r="H24" s="32"/>
    </row>
    <row r="25" ht="60.75" customHeight="1">
      <c r="A25" s="34" t="str">
        <f>'Plan mejoramiento'!C25</f>
        <v>
Se requiere incrementar el número de registros de egresados en la base de datos</v>
      </c>
      <c r="B25" s="34" t="str">
        <f>'Plan mejoramiento'!G25</f>
        <v>Meta 14. 
Aumentar al 45% los registros actualizados de los egresados en la base de datos del Programa</v>
      </c>
      <c r="C25" s="79"/>
      <c r="D25" s="47"/>
      <c r="E25" s="49"/>
      <c r="F25" s="51"/>
      <c r="G25" s="51"/>
      <c r="H25" s="32"/>
    </row>
    <row r="26" ht="52.5" customHeight="1">
      <c r="A26" s="34" t="str">
        <f>'Plan mejoramiento'!C26</f>
        <v>Continuar robusteciendo la infraestructura de laboratorios y equipos disponibles para el Programa en las distintas líneas de profundización, tanto para la docencia,
coma para la investigación, y cumplir con el plan de mantenimiento y calibración de equipos de laboratorios de manera permanente.</v>
      </c>
      <c r="B26" s="34" t="str">
        <f>'Plan mejoramiento'!G26</f>
        <v>Meta 15. 
Construir un (1) complejo de laboratorios</v>
      </c>
      <c r="C26" s="79"/>
      <c r="D26" s="47"/>
      <c r="E26" s="49"/>
      <c r="F26" s="51"/>
      <c r="G26" s="51"/>
      <c r="H26" s="32"/>
    </row>
    <row r="27" ht="66.75" customHeight="1">
      <c r="A27" s="34" t="str">
        <f>'Plan mejoramiento'!C27</f>
        <v/>
      </c>
      <c r="B27" s="34" t="str">
        <f>'Plan mejoramiento'!G27</f>
        <v>Meta 16. 
Ejecutar el 100% del plan de adquisición de equipos de medios educativos para los laboratorios del Sistema de Gestión de Laboratorios.</v>
      </c>
      <c r="C27" s="79"/>
      <c r="D27" s="47"/>
      <c r="E27" s="49"/>
      <c r="F27" s="51"/>
      <c r="G27" s="51"/>
      <c r="H27" s="32"/>
    </row>
    <row r="28" ht="85.5" customHeight="1">
      <c r="A28" s="34" t="str">
        <f>'Plan mejoramiento'!C28</f>
        <v>Se requiere fortalecer el seguimiento de la medición de impacto que evidencie el desarrollo de las funciones misionales</v>
      </c>
      <c r="B28" s="34" t="str">
        <f>'Plan mejoramiento'!G28</f>
        <v>Meta 17. 
Obtener el nivel de cumplimiento mayor o igual al 80% en la medición del impacto</v>
      </c>
      <c r="C28" s="79"/>
      <c r="D28" s="47"/>
      <c r="E28" s="49"/>
      <c r="F28" s="51"/>
      <c r="G28" s="51"/>
      <c r="H28" s="32"/>
    </row>
  </sheetData>
  <mergeCells count="23">
    <mergeCell ref="F6:G6"/>
    <mergeCell ref="B7:E7"/>
    <mergeCell ref="D8:E8"/>
    <mergeCell ref="F8:G8"/>
    <mergeCell ref="A1:A3"/>
    <mergeCell ref="B1:G1"/>
    <mergeCell ref="B2:G2"/>
    <mergeCell ref="B3:C3"/>
    <mergeCell ref="E3:F3"/>
    <mergeCell ref="B4:E4"/>
    <mergeCell ref="F5:G5"/>
    <mergeCell ref="D11:D13"/>
    <mergeCell ref="E11:E13"/>
    <mergeCell ref="F11:F13"/>
    <mergeCell ref="G11:G13"/>
    <mergeCell ref="B5:C5"/>
    <mergeCell ref="B6:C6"/>
    <mergeCell ref="A8:A9"/>
    <mergeCell ref="B8:B9"/>
    <mergeCell ref="C8:C9"/>
    <mergeCell ref="B11:B13"/>
    <mergeCell ref="C11:C13"/>
    <mergeCell ref="A12:A13"/>
  </mergeCells>
  <conditionalFormatting sqref="C10:C28">
    <cfRule type="expression" dxfId="0" priority="1">
      <formula>$C$10=""</formula>
    </cfRule>
  </conditionalFormatting>
  <conditionalFormatting sqref="D10:D28">
    <cfRule type="expression" dxfId="0" priority="2">
      <formula>$D$10=""</formula>
    </cfRule>
  </conditionalFormatting>
  <conditionalFormatting sqref="E10:E28">
    <cfRule type="expression" dxfId="0" priority="3">
      <formula>$E$10=""</formula>
    </cfRule>
  </conditionalFormatting>
  <conditionalFormatting sqref="F10:G28">
    <cfRule type="expression" dxfId="1" priority="4">
      <formula>$F$10=""</formula>
    </cfRule>
  </conditionalFormatting>
  <conditionalFormatting sqref="C10:C28">
    <cfRule type="cellIs" dxfId="2" priority="5" operator="greaterThan">
      <formula>1</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0F00"/>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0"/>
  <cols>
    <col customWidth="1" min="1" max="1" width="26.75"/>
    <col customWidth="1" min="2" max="2" width="34.25"/>
    <col customWidth="1" min="3" max="3" width="12.75"/>
    <col customWidth="1" min="4" max="4" width="48.63"/>
    <col customWidth="1" min="5" max="5" width="15.5"/>
    <col customWidth="1" min="6" max="6" width="24.88"/>
    <col customWidth="1" min="7" max="7" width="21.75"/>
    <col customWidth="1" min="8" max="8" width="1.13"/>
  </cols>
  <sheetData>
    <row r="1" ht="15.75" customHeight="1">
      <c r="A1" s="2"/>
      <c r="B1" s="3" t="s">
        <v>0</v>
      </c>
      <c r="C1" s="4"/>
      <c r="D1" s="4"/>
      <c r="E1" s="4"/>
      <c r="F1" s="4"/>
      <c r="G1" s="6"/>
      <c r="H1" s="7"/>
    </row>
    <row r="2" ht="15.75" customHeight="1">
      <c r="A2" s="8"/>
      <c r="B2" s="9" t="s">
        <v>1</v>
      </c>
      <c r="C2" s="4"/>
      <c r="D2" s="4"/>
      <c r="E2" s="4"/>
      <c r="F2" s="4"/>
      <c r="G2" s="6"/>
      <c r="H2" s="10"/>
    </row>
    <row r="3" ht="15.75" customHeight="1">
      <c r="A3" s="11"/>
      <c r="B3" s="12" t="s">
        <v>296</v>
      </c>
      <c r="C3" s="6"/>
      <c r="D3" s="13" t="s">
        <v>297</v>
      </c>
      <c r="E3" s="16" t="s">
        <v>298</v>
      </c>
      <c r="F3" s="6"/>
      <c r="G3" s="13" t="s">
        <v>299</v>
      </c>
      <c r="H3" s="10"/>
    </row>
    <row r="4" ht="2.25" customHeight="1">
      <c r="A4" s="5"/>
      <c r="B4" s="5"/>
      <c r="F4" s="5"/>
      <c r="G4" s="5"/>
      <c r="H4" s="5"/>
    </row>
    <row r="5">
      <c r="A5" s="18" t="s">
        <v>12</v>
      </c>
      <c r="B5" s="22" t="str">
        <f>IF('Plan mejoramiento'!B5="","",'Plan mejoramiento'!B5)</f>
        <v>De programa</v>
      </c>
      <c r="C5" s="6"/>
      <c r="D5" s="25" t="str">
        <f>IF('Plan mejoramiento'!E5="","",CONCATENATE('Plan mejoramiento'!D5," ",'Plan mejoramiento'!E5))</f>
        <v>Programa: Ingeniería Electrónica</v>
      </c>
      <c r="E5" s="26"/>
      <c r="F5" s="27"/>
      <c r="H5" s="1"/>
    </row>
    <row r="6">
      <c r="A6" s="18" t="str">
        <f>'Plan mejoramiento'!A6</f>
        <v>Facultad:</v>
      </c>
      <c r="B6" s="30" t="str">
        <f>'Plan mejoramiento'!B6</f>
        <v>Facultad de Ciencias Básicas e Ingeniería</v>
      </c>
      <c r="C6" s="31"/>
      <c r="D6" s="25" t="str">
        <f>IF('Plan mejoramiento'!J6="","",CONCATENATE('Plan mejoramiento'!J6," ",#REF!))</f>
        <v>#REF!</v>
      </c>
      <c r="E6" s="26"/>
      <c r="F6" s="27"/>
      <c r="H6" s="1"/>
    </row>
    <row r="7" ht="2.25" customHeight="1">
      <c r="A7" s="1"/>
      <c r="B7" s="1"/>
      <c r="F7" s="1"/>
      <c r="G7" s="1"/>
      <c r="H7" s="1"/>
    </row>
    <row r="8">
      <c r="A8" s="35" t="str">
        <f>'Plan mejoramiento'!C8</f>
        <v>Descripción de la oportunidad de mejora</v>
      </c>
      <c r="B8" s="35" t="str">
        <f>'Plan mejoramiento'!G8</f>
        <v>Meta de la oportunidad de mejora</v>
      </c>
      <c r="C8" s="37" t="s">
        <v>33</v>
      </c>
      <c r="D8" s="39" t="s">
        <v>34</v>
      </c>
      <c r="E8" s="4"/>
      <c r="F8" s="40" t="s">
        <v>35</v>
      </c>
      <c r="G8" s="6"/>
      <c r="H8" s="1"/>
    </row>
    <row r="9" ht="35.25" customHeight="1">
      <c r="A9" s="11"/>
      <c r="B9" s="11"/>
      <c r="C9" s="11"/>
      <c r="D9" s="42" t="s">
        <v>39</v>
      </c>
      <c r="E9" s="43" t="s">
        <v>40</v>
      </c>
      <c r="F9" s="44" t="s">
        <v>319</v>
      </c>
      <c r="G9" s="44" t="s">
        <v>43</v>
      </c>
      <c r="H9" s="1"/>
    </row>
    <row r="10" ht="88.5" customHeight="1">
      <c r="A10" s="34" t="str">
        <f>'Plan mejoramiento'!C10</f>
        <v>Continuar con estrategias para lograr que los resultados de la prueba Saber Pro sean mayores en todas las competencias ai promedio obtenido por los estudiantes
del grupo de referencia NBC.
</v>
      </c>
      <c r="B10" s="34" t="str">
        <f>'Plan mejoramiento'!G10</f>
        <v>Meta 1.
Mantener cinco (5) puntos por encima de los resultados de la prueba Saber Pro del grupo de referencia </v>
      </c>
      <c r="C10" s="45"/>
      <c r="D10" s="47"/>
      <c r="E10" s="49"/>
      <c r="F10" s="51"/>
      <c r="G10" s="51"/>
      <c r="H10" s="32"/>
    </row>
    <row r="11">
      <c r="A11" s="34" t="str">
        <f>'Plan mejoramiento'!C11</f>
        <v>Mantener la participación en las actividades de Bienestar de un porcentaje significativo de estudiantes del Programa en cada periodo, dada la importancia declarada por la institución, en el desarrollo integral y en la permanencia.</v>
      </c>
      <c r="B11" s="53" t="str">
        <f>'Plan mejoramiento'!G11</f>
        <v>Meta 2a.2b, 2c
Incrementar al 60% la participación de la comunidad del programa en actividades de bienestar institucional </v>
      </c>
      <c r="C11" s="54"/>
      <c r="D11" s="56"/>
      <c r="E11" s="58"/>
      <c r="F11" s="60"/>
      <c r="G11" s="60"/>
      <c r="H11" s="32"/>
    </row>
    <row r="12" ht="34.5" customHeight="1">
      <c r="A12" s="53" t="str">
        <f>'Plan mejoramiento'!C12</f>
        <v>Bajo porcentaje de profesores y administrativos en actividades de Bienestar</v>
      </c>
      <c r="B12" s="8"/>
      <c r="C12" s="8"/>
      <c r="D12" s="8"/>
      <c r="E12" s="8"/>
      <c r="F12" s="8"/>
      <c r="G12" s="8"/>
      <c r="H12" s="32"/>
    </row>
    <row r="13" ht="54.75" customHeight="1">
      <c r="A13" s="11"/>
      <c r="B13" s="11"/>
      <c r="C13" s="11"/>
      <c r="D13" s="11"/>
      <c r="E13" s="11"/>
      <c r="F13" s="11"/>
      <c r="G13" s="11"/>
      <c r="H13" s="32"/>
    </row>
    <row r="14">
      <c r="A14" s="34" t="str">
        <f>'Plan mejoramiento'!C14</f>
        <v>El número de profesores no es suficiente para las necesidades del programa en relación con el número de estudiantes.</v>
      </c>
      <c r="B14" s="34" t="str">
        <f>'Plan mejoramiento'!G14</f>
        <v>Meta 3.
Desarrollar una (1) convocatoria de planta docente </v>
      </c>
      <c r="C14" s="45"/>
      <c r="D14" s="47"/>
      <c r="E14" s="49"/>
      <c r="F14" s="51"/>
      <c r="G14" s="51"/>
      <c r="H14" s="32"/>
    </row>
    <row r="15">
      <c r="A15" s="34" t="str">
        <f>'Plan mejoramiento'!C15</f>
        <v>Los tiempos de dedicación a las funciones misionales no cumplen con lo establecido en los indicadores del programa.</v>
      </c>
      <c r="B15" s="34" t="str">
        <f>'Plan mejoramiento'!G15</f>
        <v>Meta 4.
Incrementar al 25% la asignación de tiempos de los docentes TC a la investigación</v>
      </c>
      <c r="C15" s="45"/>
      <c r="D15" s="47"/>
      <c r="E15" s="49"/>
      <c r="F15" s="51"/>
      <c r="G15" s="51"/>
      <c r="H15" s="32"/>
    </row>
    <row r="16">
      <c r="A16" s="34" t="str">
        <f>'Plan mejoramiento'!C16</f>
        <v/>
      </c>
      <c r="B16" s="34" t="str">
        <f>'Plan mejoramiento'!G16</f>
        <v>Meta 5.
Incrementar al 20% la asignación de tiempos de los docentes TC a la Proyección Social</v>
      </c>
      <c r="C16" s="45"/>
      <c r="D16" s="47"/>
      <c r="E16" s="49"/>
      <c r="F16" s="51"/>
      <c r="G16" s="51"/>
      <c r="H16" s="32"/>
    </row>
    <row r="17">
      <c r="A17" s="34" t="str">
        <f>'Plan mejoramiento'!C17</f>
        <v>Continuar con estrategias para aumentar el material de apoyo docente, su aplicación, y difusión.</v>
      </c>
      <c r="B17" s="34" t="str">
        <f>'Plan mejoramiento'!G17</f>
        <v>Meta 6.
Desarrollar una (1) estrategia anual para fomentar la productividad y el material de apoyo docente</v>
      </c>
      <c r="C17" s="45"/>
      <c r="D17" s="47"/>
      <c r="E17" s="49"/>
      <c r="F17" s="51"/>
      <c r="G17" s="51"/>
      <c r="H17" s="32"/>
    </row>
    <row r="18">
      <c r="A18" s="34" t="str">
        <f>'Plan mejoramiento'!C18</f>
        <v>El número de productos derivados de la participación de profesores, estudiantes y directivos del programa en redes u organismos nacionales e internacionales es bajo.</v>
      </c>
      <c r="B18" s="34" t="str">
        <f>'Plan mejoramiento'!G18</f>
        <v>Meta 7.
Incrementar al 30% la participación de los docentes en redes u organismos nacionales e internacionales para generar productos</v>
      </c>
      <c r="C18" s="45"/>
      <c r="D18" s="47"/>
      <c r="E18" s="49"/>
      <c r="F18" s="51"/>
      <c r="G18" s="51"/>
      <c r="H18" s="32"/>
    </row>
    <row r="19">
      <c r="A19" s="34" t="str">
        <f>'Plan mejoramiento'!C19</f>
        <v/>
      </c>
      <c r="B19" s="34" t="str">
        <f>'Plan mejoramiento'!G19</f>
        <v>Meta 8.
Desarrollar un (1) producto bienalmente como resultado de la articulación de redes académicas </v>
      </c>
      <c r="C19" s="45"/>
      <c r="D19" s="47"/>
      <c r="E19" s="49"/>
      <c r="F19" s="51"/>
      <c r="G19" s="51"/>
      <c r="H19" s="32"/>
    </row>
    <row r="20">
      <c r="A20" s="34" t="str">
        <f>'Plan mejoramiento'!C20</f>
        <v>Continuar promoviendo la movilidad entrante nacional e internacional y la saliente nacional</v>
      </c>
      <c r="B20" s="34" t="str">
        <f>'Plan mejoramiento'!G20</f>
        <v>Meta 9.
Realizar la movilidad de un (1) estudiante extranjero bienalmente</v>
      </c>
      <c r="C20" s="45"/>
      <c r="D20" s="47"/>
      <c r="E20" s="49"/>
      <c r="F20" s="51"/>
      <c r="G20" s="51"/>
      <c r="H20" s="32"/>
    </row>
    <row r="21" ht="140.25" customHeight="1">
      <c r="A21" s="34" t="str">
        <f>'Plan mejoramiento'!C21</f>
        <v>Aumentar la movilidad saliente de estudiantes del Programa en distintas modalidades. Aunque el Programa argumenta la reducción en este indicador, en la pandemia y el paro, es posible complementar estos resultados, estableciendo otras actividades en distintas modalidades con efectos en la visibilidad y la cooperación nacional e internacional.</v>
      </c>
      <c r="B21" s="34" t="str">
        <f>'Plan mejoramiento'!G21</f>
        <v>Meta 10.
Lograr que el 20% de estudiantes a partir del V semestre realicen movilidad saliente nacional o internacional anualmente </v>
      </c>
      <c r="C21" s="45"/>
      <c r="D21" s="47"/>
      <c r="E21" s="49"/>
      <c r="F21" s="51"/>
      <c r="G21" s="51"/>
      <c r="H21" s="32"/>
    </row>
    <row r="22" ht="108.75" customHeight="1">
      <c r="A22" s="34" t="str">
        <f>'Plan mejoramiento'!C22</f>
        <v>Persistir en acciones que permitan de manera efectiva continuar disminuyendo la deserción en el Programa. La tasa de deserción anual para 3 periodos entre 2019 y
2021 es superior al promedio nacional para nivel de formación.</v>
      </c>
      <c r="B22" s="34" t="str">
        <f>'Plan mejoramiento'!G22</f>
        <v>Meta 11.
Mantener un (1) digito la tasa deserción del programa </v>
      </c>
      <c r="C22" s="79"/>
      <c r="D22" s="47"/>
      <c r="E22" s="49"/>
      <c r="F22" s="51"/>
      <c r="G22" s="51"/>
      <c r="H22" s="32"/>
    </row>
    <row r="23" ht="148.5" customHeight="1">
      <c r="A23" s="34" t="str">
        <f>'Plan mejoramiento'!C23</f>
        <v>Continuar con la estrategia para lograr la graduación en el tiempo aprobado en el registro calificado. La tasa acumulada de graduación del Programa al semestre 13 es del 23.57% inferior al promedio nacional para el profesional universitario. Aunque es mejor con relación al proceso anterior de acreditación, aún hay una  Oportunidad de mejora significativa en el comparativo nacional con el promedio del nivel de formación.</v>
      </c>
      <c r="B23" s="34" t="str">
        <f>'Plan mejoramiento'!G23</f>
        <v>Meta 12. 
Mantener en 12,5 de semestres para la graduación</v>
      </c>
      <c r="C23" s="79"/>
      <c r="D23" s="47"/>
      <c r="E23" s="49"/>
      <c r="F23" s="51"/>
      <c r="G23" s="51"/>
      <c r="H23" s="32"/>
    </row>
    <row r="24" ht="80.25" customHeight="1">
      <c r="A24" s="34" t="str">
        <f>'Plan mejoramiento'!C24</f>
        <v>Continuar con estrategias y apoyos para mejorar la categoría de los grupos de
investigación y el reconocimiento de profesores como investigadores.</v>
      </c>
      <c r="B24" s="34" t="str">
        <f>'Plan mejoramiento'!G24</f>
        <v>Meta 13. 
Lograr que un (1) grupos de investigación suba de categoría</v>
      </c>
      <c r="C24" s="45"/>
      <c r="D24" s="47"/>
      <c r="E24" s="49"/>
      <c r="F24" s="51"/>
      <c r="G24" s="51"/>
      <c r="H24" s="32"/>
    </row>
    <row r="25" ht="60.75" customHeight="1">
      <c r="A25" s="34" t="str">
        <f>'Plan mejoramiento'!C25</f>
        <v>
Se requiere incrementar el número de registros de egresados en la base de datos</v>
      </c>
      <c r="B25" s="34" t="str">
        <f>'Plan mejoramiento'!G25</f>
        <v>Meta 14. 
Aumentar al 45% los registros actualizados de los egresados en la base de datos del Programa</v>
      </c>
      <c r="C25" s="79"/>
      <c r="D25" s="47"/>
      <c r="E25" s="49"/>
      <c r="F25" s="51"/>
      <c r="G25" s="51"/>
      <c r="H25" s="32"/>
    </row>
    <row r="26" ht="52.5" customHeight="1">
      <c r="A26" s="34" t="str">
        <f>'Plan mejoramiento'!C26</f>
        <v>Continuar robusteciendo la infraestructura de laboratorios y equipos disponibles para el Programa en las distintas líneas de profundización, tanto para la docencia,
coma para la investigación, y cumplir con el plan de mantenimiento y calibración de equipos de laboratorios de manera permanente.</v>
      </c>
      <c r="B26" s="34" t="str">
        <f>'Plan mejoramiento'!G26</f>
        <v>Meta 15. 
Construir un (1) complejo de laboratorios</v>
      </c>
      <c r="C26" s="79"/>
      <c r="D26" s="47"/>
      <c r="E26" s="49"/>
      <c r="F26" s="51"/>
      <c r="G26" s="51"/>
      <c r="H26" s="32"/>
    </row>
    <row r="27" ht="66.75" customHeight="1">
      <c r="A27" s="34" t="str">
        <f>'Plan mejoramiento'!C27</f>
        <v/>
      </c>
      <c r="B27" s="34" t="str">
        <f>'Plan mejoramiento'!G27</f>
        <v>Meta 16. 
Ejecutar el 100% del plan de adquisición de equipos de medios educativos para los laboratorios del Sistema de Gestión de Laboratorios.</v>
      </c>
      <c r="C27" s="79"/>
      <c r="D27" s="47"/>
      <c r="E27" s="49"/>
      <c r="F27" s="51"/>
      <c r="G27" s="51"/>
      <c r="H27" s="32"/>
    </row>
    <row r="28" ht="85.5" customHeight="1">
      <c r="A28" s="34" t="str">
        <f>'Plan mejoramiento'!C28</f>
        <v>Se requiere fortalecer el seguimiento de la medición de impacto que evidencie el desarrollo de las funciones misionales</v>
      </c>
      <c r="B28" s="34" t="str">
        <f>'Plan mejoramiento'!G28</f>
        <v>Meta 17. 
Obtener el nivel de cumplimiento mayor o igual al 80% en la medición del impacto</v>
      </c>
      <c r="C28" s="79"/>
      <c r="D28" s="47"/>
      <c r="E28" s="49"/>
      <c r="F28" s="51"/>
      <c r="G28" s="51"/>
      <c r="H28" s="32"/>
    </row>
  </sheetData>
  <mergeCells count="23">
    <mergeCell ref="F6:G6"/>
    <mergeCell ref="B7:E7"/>
    <mergeCell ref="D8:E8"/>
    <mergeCell ref="F8:G8"/>
    <mergeCell ref="A1:A3"/>
    <mergeCell ref="B1:G1"/>
    <mergeCell ref="B2:G2"/>
    <mergeCell ref="B3:C3"/>
    <mergeCell ref="E3:F3"/>
    <mergeCell ref="B4:E4"/>
    <mergeCell ref="F5:G5"/>
    <mergeCell ref="D11:D13"/>
    <mergeCell ref="E11:E13"/>
    <mergeCell ref="F11:F13"/>
    <mergeCell ref="G11:G13"/>
    <mergeCell ref="B5:C5"/>
    <mergeCell ref="B6:C6"/>
    <mergeCell ref="A8:A9"/>
    <mergeCell ref="B8:B9"/>
    <mergeCell ref="C8:C9"/>
    <mergeCell ref="B11:B13"/>
    <mergeCell ref="C11:C13"/>
    <mergeCell ref="A12:A13"/>
  </mergeCells>
  <conditionalFormatting sqref="C10:C28">
    <cfRule type="expression" dxfId="0" priority="1">
      <formula>$C$10=""</formula>
    </cfRule>
  </conditionalFormatting>
  <conditionalFormatting sqref="D10:D28">
    <cfRule type="expression" dxfId="0" priority="2">
      <formula>$D$10=""</formula>
    </cfRule>
  </conditionalFormatting>
  <conditionalFormatting sqref="E10:E28">
    <cfRule type="expression" dxfId="0" priority="3">
      <formula>$E$10=""</formula>
    </cfRule>
  </conditionalFormatting>
  <conditionalFormatting sqref="F10:G28">
    <cfRule type="expression" dxfId="1" priority="4">
      <formula>$F$10=""</formula>
    </cfRule>
  </conditionalFormatting>
  <conditionalFormatting sqref="C10:C28">
    <cfRule type="cellIs" dxfId="2" priority="5" operator="greaterThan">
      <formula>1</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8.38"/>
    <col customWidth="1" min="3" max="19" width="13.88"/>
    <col customWidth="1" min="20" max="20" width="23.75"/>
    <col customWidth="1" min="21" max="21" width="17.13"/>
    <col customWidth="1" min="24" max="24" width="40.0"/>
    <col customWidth="1" min="25" max="25" width="15.63"/>
  </cols>
  <sheetData>
    <row r="1" ht="7.5" customHeight="1">
      <c r="A1" s="187"/>
      <c r="B1" s="187"/>
      <c r="C1" s="187"/>
      <c r="D1" s="187"/>
      <c r="E1" s="187"/>
      <c r="F1" s="187"/>
      <c r="G1" s="187"/>
      <c r="H1" s="187"/>
      <c r="I1" s="187"/>
      <c r="J1" s="187"/>
      <c r="K1" s="187"/>
      <c r="L1" s="187"/>
      <c r="M1" s="187"/>
      <c r="N1" s="187"/>
      <c r="O1" s="187"/>
      <c r="P1" s="187"/>
      <c r="Q1" s="187"/>
      <c r="R1" s="187"/>
      <c r="S1" s="187"/>
      <c r="T1" s="187"/>
      <c r="U1" s="187"/>
      <c r="V1" s="32"/>
      <c r="W1" s="32"/>
      <c r="X1" s="32"/>
      <c r="Y1" s="32"/>
    </row>
    <row r="2">
      <c r="A2" s="188" t="s">
        <v>300</v>
      </c>
      <c r="B2" s="189" t="s">
        <v>301</v>
      </c>
      <c r="C2" s="190" t="s">
        <v>303</v>
      </c>
      <c r="D2" s="188" t="s">
        <v>304</v>
      </c>
      <c r="G2" s="188" t="s">
        <v>305</v>
      </c>
      <c r="J2" s="188" t="s">
        <v>306</v>
      </c>
      <c r="M2" s="188" t="s">
        <v>307</v>
      </c>
      <c r="P2" s="188"/>
      <c r="Q2" s="188" t="s">
        <v>308</v>
      </c>
      <c r="T2" s="191" t="s">
        <v>309</v>
      </c>
      <c r="U2" s="192" t="s">
        <v>310</v>
      </c>
      <c r="V2" s="193" t="s">
        <v>311</v>
      </c>
      <c r="W2" s="194" t="s">
        <v>312</v>
      </c>
      <c r="X2" s="190" t="s">
        <v>313</v>
      </c>
      <c r="Y2" s="194"/>
    </row>
    <row r="3">
      <c r="D3" s="188" t="s">
        <v>36</v>
      </c>
      <c r="E3" s="188" t="s">
        <v>314</v>
      </c>
      <c r="F3" s="188" t="s">
        <v>315</v>
      </c>
      <c r="G3" s="188" t="s">
        <v>36</v>
      </c>
      <c r="H3" s="188" t="s">
        <v>314</v>
      </c>
      <c r="I3" s="188" t="s">
        <v>315</v>
      </c>
      <c r="J3" s="188" t="s">
        <v>36</v>
      </c>
      <c r="K3" s="188" t="s">
        <v>314</v>
      </c>
      <c r="L3" s="188" t="s">
        <v>315</v>
      </c>
      <c r="M3" s="188" t="s">
        <v>36</v>
      </c>
      <c r="N3" s="188" t="s">
        <v>314</v>
      </c>
      <c r="O3" s="188" t="s">
        <v>315</v>
      </c>
      <c r="P3" s="188" t="s">
        <v>316</v>
      </c>
      <c r="Q3" s="188" t="s">
        <v>36</v>
      </c>
      <c r="R3" s="188" t="s">
        <v>314</v>
      </c>
      <c r="S3" s="188" t="s">
        <v>315</v>
      </c>
      <c r="T3" s="195"/>
      <c r="Y3" s="194"/>
    </row>
    <row r="4" ht="22.5" customHeight="1">
      <c r="A4" s="196" t="s">
        <v>118</v>
      </c>
      <c r="B4" s="196" t="s">
        <v>317</v>
      </c>
      <c r="C4" s="196" t="s">
        <v>36</v>
      </c>
      <c r="D4" s="196" t="s">
        <v>318</v>
      </c>
      <c r="E4" s="196" t="s">
        <v>320</v>
      </c>
      <c r="F4" s="187" t="s">
        <v>321</v>
      </c>
      <c r="G4" s="196" t="s">
        <v>322</v>
      </c>
      <c r="H4" s="196" t="s">
        <v>323</v>
      </c>
      <c r="I4" s="196" t="s">
        <v>324</v>
      </c>
      <c r="J4" s="196" t="s">
        <v>325</v>
      </c>
      <c r="K4" s="196" t="s">
        <v>326</v>
      </c>
      <c r="L4" s="187" t="s">
        <v>327</v>
      </c>
      <c r="M4" s="196" t="s">
        <v>328</v>
      </c>
      <c r="N4" s="196" t="s">
        <v>329</v>
      </c>
      <c r="O4" s="196" t="s">
        <v>330</v>
      </c>
      <c r="P4" s="196" t="s">
        <v>331</v>
      </c>
      <c r="Q4" s="196" t="s">
        <v>332</v>
      </c>
      <c r="R4" s="196" t="s">
        <v>333</v>
      </c>
      <c r="S4" s="187" t="s">
        <v>334</v>
      </c>
      <c r="T4" s="187" t="str">
        <f t="array" ref="T4:T9">IF(AND('Plan mejoramiento'!B6=B4,'Plan mejoramiento'!E6=C4),D4:D14,IF(AND('Plan mejoramiento'!B6=B4,'Plan mejoramiento'!E6=C5),E4:E14,IF(AND('Plan mejoramiento'!B6=B4,'Plan mejoramiento'!E6=C6),F4:F9,IF(AND('Plan mejoramiento'!B6=B5,'Plan mejoramiento'!E6=C4),G4:G9,IF(AND('Plan mejoramiento'!B6=B5,'Plan mejoramiento'!E6=C5),H4:H9,IF(AND('Plan mejoramiento'!B6=B5,'Plan mejoramiento'!E6=C6),I4:I9,IF(AND('Plan mejoramiento'!B6=B6,'Plan mejoramiento'!E6=C4),J4:J9,IF(AND('Plan mejoramiento'!B6=B6,'Plan mejoramiento'!E6=C5),K4:K9,IF(AND('Plan mejoramiento'!B5=B6,'Plan mejoramiento'!E6=C6),L4:L9,IF(AND('Plan mejoramiento'!B6=B7,'Plan mejoramiento'!E6=C4),M4:M9,IF(AND('Plan mejoramiento'!B5=B6,'Plan mejoramiento'!E6=C5),N4:N9,IF(AND('Plan mejoramiento'!B6=B7,'Plan mejoramiento'!E6=C6),O4:O9,IF(AND('Plan mejoramiento'!B5=B6,'Plan mejoramiento'!E6=C7),P4:P9,IF(AND('Plan mejoramiento'!B6=B8,'Plan mejoramiento'!E6=C4),Q4:Q9,IF(AND('Plan mejoramiento'!B5=B6,'Plan mejoramiento'!E6=C5),R4:R9,IF(AND('Plan mejoramiento'!B6=B8,'Plan mejoramiento'!E6=C6),S4:S9,"La Facultad seleccionada no cuenta con este nivel de formación"))))))))))))))))</f>
        <v>Biología</v>
      </c>
      <c r="U4" s="187" t="s">
        <v>118</v>
      </c>
      <c r="V4" s="32" t="s">
        <v>335</v>
      </c>
      <c r="W4" s="32" t="s">
        <v>336</v>
      </c>
      <c r="X4" s="197" t="s">
        <v>113</v>
      </c>
      <c r="Y4" s="198"/>
    </row>
    <row r="5">
      <c r="A5" s="196" t="s">
        <v>26</v>
      </c>
      <c r="B5" s="196" t="s">
        <v>32</v>
      </c>
      <c r="C5" s="196" t="s">
        <v>314</v>
      </c>
      <c r="D5" s="196" t="s">
        <v>337</v>
      </c>
      <c r="E5" s="196" t="s">
        <v>338</v>
      </c>
      <c r="F5" s="196"/>
      <c r="G5" s="196" t="s">
        <v>339</v>
      </c>
      <c r="H5" s="196" t="s">
        <v>340</v>
      </c>
      <c r="I5" s="196"/>
      <c r="J5" s="196" t="s">
        <v>341</v>
      </c>
      <c r="K5" s="196" t="s">
        <v>342</v>
      </c>
      <c r="L5" s="196"/>
      <c r="M5" s="196" t="s">
        <v>343</v>
      </c>
      <c r="N5" s="196" t="s">
        <v>344</v>
      </c>
      <c r="O5" s="196" t="s">
        <v>345</v>
      </c>
      <c r="P5" s="196"/>
      <c r="Q5" s="196" t="s">
        <v>346</v>
      </c>
      <c r="R5" s="187"/>
      <c r="S5" s="187" t="s">
        <v>347</v>
      </c>
      <c r="T5" s="187" t="s">
        <v>339</v>
      </c>
      <c r="U5" s="187" t="s">
        <v>135</v>
      </c>
      <c r="V5" s="32" t="s">
        <v>348</v>
      </c>
      <c r="W5" s="32" t="s">
        <v>349</v>
      </c>
      <c r="X5" s="197" t="s">
        <v>77</v>
      </c>
      <c r="Y5" s="198"/>
    </row>
    <row r="6">
      <c r="A6" s="196"/>
      <c r="B6" s="196" t="s">
        <v>350</v>
      </c>
      <c r="C6" s="32" t="s">
        <v>315</v>
      </c>
      <c r="D6" s="32"/>
      <c r="E6" s="196" t="s">
        <v>351</v>
      </c>
      <c r="F6" s="196"/>
      <c r="G6" s="196" t="s">
        <v>27</v>
      </c>
      <c r="H6" s="196" t="s">
        <v>352</v>
      </c>
      <c r="I6" s="196"/>
      <c r="J6" s="196" t="s">
        <v>353</v>
      </c>
      <c r="K6" s="196" t="s">
        <v>354</v>
      </c>
      <c r="L6" s="196"/>
      <c r="M6" s="196" t="s">
        <v>355</v>
      </c>
      <c r="N6" s="196"/>
      <c r="O6" s="196" t="s">
        <v>356</v>
      </c>
      <c r="P6" s="196"/>
      <c r="Q6" s="196" t="s">
        <v>357</v>
      </c>
      <c r="R6" s="187"/>
      <c r="S6" s="187"/>
      <c r="T6" s="187" t="s">
        <v>27</v>
      </c>
      <c r="U6" s="187" t="s">
        <v>80</v>
      </c>
      <c r="V6" s="32"/>
      <c r="W6" s="32" t="s">
        <v>358</v>
      </c>
      <c r="X6" s="197" t="s">
        <v>359</v>
      </c>
      <c r="Y6" s="198"/>
    </row>
    <row r="7">
      <c r="A7" s="196"/>
      <c r="B7" s="196" t="s">
        <v>360</v>
      </c>
      <c r="C7" s="32" t="s">
        <v>316</v>
      </c>
      <c r="D7" s="32"/>
      <c r="E7" s="196" t="s">
        <v>361</v>
      </c>
      <c r="F7" s="196"/>
      <c r="G7" s="199" t="s">
        <v>362</v>
      </c>
      <c r="H7" s="196"/>
      <c r="I7" s="196"/>
      <c r="J7" s="196" t="s">
        <v>363</v>
      </c>
      <c r="K7" s="196" t="s">
        <v>364</v>
      </c>
      <c r="L7" s="196"/>
      <c r="M7" s="199"/>
      <c r="N7" s="196"/>
      <c r="O7" s="196"/>
      <c r="P7" s="196"/>
      <c r="Q7" s="199"/>
      <c r="R7" s="187"/>
      <c r="S7" s="187"/>
      <c r="T7" s="187" t="s">
        <v>362</v>
      </c>
      <c r="U7" s="187"/>
      <c r="V7" s="32"/>
      <c r="W7" s="32" t="s">
        <v>365</v>
      </c>
      <c r="X7" s="197" t="s">
        <v>126</v>
      </c>
      <c r="Y7" s="198"/>
    </row>
    <row r="8">
      <c r="A8" s="196"/>
      <c r="B8" s="196" t="s">
        <v>366</v>
      </c>
      <c r="C8" s="32"/>
      <c r="D8" s="32"/>
      <c r="E8" s="196"/>
      <c r="F8" s="196"/>
      <c r="G8" s="199" t="s">
        <v>367</v>
      </c>
      <c r="H8" s="196"/>
      <c r="I8" s="196"/>
      <c r="J8" s="199"/>
      <c r="K8" s="196"/>
      <c r="L8" s="196"/>
      <c r="M8" s="199"/>
      <c r="N8" s="187"/>
      <c r="O8" s="187"/>
      <c r="P8" s="187"/>
      <c r="Q8" s="199"/>
      <c r="R8" s="187"/>
      <c r="S8" s="187"/>
      <c r="T8" s="187" t="s">
        <v>367</v>
      </c>
      <c r="U8" s="187"/>
      <c r="V8" s="32"/>
      <c r="W8" s="32" t="s">
        <v>368</v>
      </c>
      <c r="X8" s="197" t="s">
        <v>131</v>
      </c>
      <c r="Y8" s="198"/>
    </row>
    <row r="9">
      <c r="A9" s="196"/>
      <c r="B9" s="196"/>
      <c r="C9" s="32"/>
      <c r="D9" s="32"/>
      <c r="E9" s="196"/>
      <c r="F9" s="196"/>
      <c r="G9" s="199"/>
      <c r="H9" s="196"/>
      <c r="I9" s="196"/>
      <c r="J9" s="199"/>
      <c r="K9" s="196"/>
      <c r="L9" s="196"/>
      <c r="M9" s="199"/>
      <c r="N9" s="32"/>
      <c r="O9" s="32"/>
      <c r="P9" s="32"/>
      <c r="Q9" s="32"/>
      <c r="R9" s="187"/>
      <c r="S9" s="187"/>
      <c r="T9" s="187"/>
      <c r="U9" s="187"/>
      <c r="V9" s="32"/>
      <c r="W9" s="32"/>
      <c r="X9" s="197" t="s">
        <v>369</v>
      </c>
      <c r="Y9" s="198"/>
    </row>
    <row r="10">
      <c r="A10" s="200"/>
      <c r="B10" s="200"/>
      <c r="C10" s="187"/>
      <c r="D10" s="187"/>
      <c r="E10" s="187"/>
      <c r="F10" s="187"/>
      <c r="G10" s="187"/>
      <c r="H10" s="187"/>
      <c r="I10" s="187"/>
      <c r="J10" s="187"/>
      <c r="K10" s="187"/>
      <c r="L10" s="187"/>
      <c r="M10" s="187"/>
      <c r="N10" s="187"/>
      <c r="O10" s="187"/>
      <c r="P10" s="187"/>
      <c r="Q10" s="187"/>
      <c r="R10" s="187"/>
      <c r="S10" s="187"/>
      <c r="T10" s="187"/>
      <c r="U10" s="187"/>
      <c r="V10" s="32"/>
      <c r="W10" s="32"/>
      <c r="X10" s="197" t="s">
        <v>370</v>
      </c>
      <c r="Y10" s="198"/>
    </row>
    <row r="11">
      <c r="A11" s="200"/>
      <c r="B11" s="200"/>
      <c r="C11" s="187"/>
      <c r="D11" s="187"/>
      <c r="E11" s="187"/>
      <c r="F11" s="187"/>
      <c r="G11" s="187"/>
      <c r="H11" s="187"/>
      <c r="I11" s="187"/>
      <c r="J11" s="187"/>
      <c r="K11" s="187"/>
      <c r="L11" s="187"/>
      <c r="M11" s="187"/>
      <c r="N11" s="187"/>
      <c r="O11" s="187"/>
      <c r="P11" s="187"/>
      <c r="Q11" s="187"/>
      <c r="R11" s="187"/>
      <c r="S11" s="187"/>
      <c r="T11" s="187"/>
      <c r="U11" s="187"/>
      <c r="V11" s="32"/>
      <c r="W11" s="32"/>
      <c r="X11" s="197" t="s">
        <v>144</v>
      </c>
      <c r="Y11" s="198"/>
    </row>
    <row r="12">
      <c r="A12" s="200"/>
      <c r="B12" s="200"/>
      <c r="C12" s="187"/>
      <c r="D12" s="187"/>
      <c r="E12" s="187"/>
      <c r="F12" s="187"/>
      <c r="G12" s="187"/>
      <c r="H12" s="187"/>
      <c r="I12" s="187"/>
      <c r="J12" s="187"/>
      <c r="K12" s="187"/>
      <c r="L12" s="187"/>
      <c r="M12" s="187"/>
      <c r="N12" s="187"/>
      <c r="O12" s="187"/>
      <c r="P12" s="187"/>
      <c r="Q12" s="187"/>
      <c r="R12" s="187"/>
      <c r="S12" s="187"/>
      <c r="T12" s="187"/>
      <c r="U12" s="187"/>
      <c r="V12" s="32"/>
      <c r="W12" s="32"/>
      <c r="X12" s="197" t="s">
        <v>371</v>
      </c>
      <c r="Y12" s="198"/>
    </row>
    <row r="13">
      <c r="A13" s="200"/>
      <c r="B13" s="200"/>
      <c r="C13" s="187"/>
      <c r="D13" s="187"/>
      <c r="E13" s="187"/>
      <c r="F13" s="187"/>
      <c r="G13" s="187"/>
      <c r="H13" s="187"/>
      <c r="I13" s="187"/>
      <c r="J13" s="187"/>
      <c r="K13" s="187"/>
      <c r="L13" s="187"/>
      <c r="M13" s="187"/>
      <c r="N13" s="187"/>
      <c r="O13" s="187"/>
      <c r="P13" s="187"/>
      <c r="Q13" s="187"/>
      <c r="R13" s="187"/>
      <c r="S13" s="187"/>
      <c r="T13" s="187"/>
      <c r="U13" s="187"/>
      <c r="V13" s="32"/>
      <c r="W13" s="32"/>
      <c r="X13" s="197" t="s">
        <v>372</v>
      </c>
      <c r="Y13" s="198"/>
    </row>
    <row r="14">
      <c r="A14" s="200"/>
      <c r="B14" s="200"/>
      <c r="C14" s="187"/>
      <c r="D14" s="187"/>
      <c r="E14" s="187"/>
      <c r="F14" s="187"/>
      <c r="G14" s="187"/>
      <c r="H14" s="187"/>
      <c r="I14" s="187"/>
      <c r="J14" s="187"/>
      <c r="K14" s="187"/>
      <c r="L14" s="187"/>
      <c r="M14" s="187"/>
      <c r="N14" s="187"/>
      <c r="O14" s="187"/>
      <c r="P14" s="187"/>
      <c r="Q14" s="187"/>
      <c r="R14" s="187"/>
      <c r="S14" s="187"/>
      <c r="T14" s="187"/>
      <c r="U14" s="187"/>
      <c r="V14" s="32"/>
      <c r="W14" s="32"/>
      <c r="X14" s="197" t="s">
        <v>373</v>
      </c>
      <c r="Y14" s="198"/>
    </row>
    <row r="15">
      <c r="A15" s="200"/>
      <c r="B15" s="200"/>
      <c r="C15" s="187"/>
      <c r="D15" s="187"/>
      <c r="E15" s="187"/>
      <c r="F15" s="187"/>
      <c r="G15" s="187"/>
      <c r="H15" s="187"/>
      <c r="I15" s="187"/>
      <c r="J15" s="187"/>
      <c r="K15" s="187"/>
      <c r="L15" s="187"/>
      <c r="M15" s="187"/>
      <c r="N15" s="187"/>
      <c r="O15" s="187"/>
      <c r="P15" s="187"/>
      <c r="Q15" s="187"/>
      <c r="R15" s="187"/>
      <c r="S15" s="187"/>
      <c r="T15" s="187"/>
      <c r="U15" s="187"/>
      <c r="V15" s="32"/>
      <c r="W15" s="32"/>
      <c r="X15" s="197" t="s">
        <v>374</v>
      </c>
      <c r="Y15" s="198"/>
    </row>
    <row r="16">
      <c r="A16" s="200"/>
      <c r="B16" s="200"/>
      <c r="C16" s="187"/>
      <c r="D16" s="187"/>
      <c r="E16" s="187"/>
      <c r="F16" s="187"/>
      <c r="G16" s="187"/>
      <c r="H16" s="187"/>
      <c r="I16" s="187"/>
      <c r="J16" s="187"/>
      <c r="K16" s="187"/>
      <c r="L16" s="187"/>
      <c r="M16" s="187"/>
      <c r="N16" s="187"/>
      <c r="O16" s="187"/>
      <c r="P16" s="187"/>
      <c r="Q16" s="187"/>
      <c r="R16" s="187"/>
      <c r="S16" s="187"/>
      <c r="T16" s="187"/>
      <c r="U16" s="187"/>
      <c r="V16" s="32"/>
      <c r="W16" s="32"/>
      <c r="X16" s="197" t="s">
        <v>375</v>
      </c>
      <c r="Y16" s="198"/>
    </row>
    <row r="17">
      <c r="A17" s="200"/>
      <c r="B17" s="200"/>
      <c r="C17" s="187"/>
      <c r="D17" s="187"/>
      <c r="E17" s="187"/>
      <c r="F17" s="187"/>
      <c r="G17" s="187"/>
      <c r="H17" s="187"/>
      <c r="I17" s="187"/>
      <c r="J17" s="187"/>
      <c r="K17" s="187"/>
      <c r="L17" s="187"/>
      <c r="M17" s="187"/>
      <c r="N17" s="187"/>
      <c r="O17" s="187"/>
      <c r="P17" s="187"/>
      <c r="Q17" s="187"/>
      <c r="R17" s="187"/>
      <c r="S17" s="187"/>
      <c r="T17" s="187"/>
      <c r="U17" s="187"/>
      <c r="V17" s="32"/>
      <c r="W17" s="32"/>
      <c r="X17" s="197" t="s">
        <v>376</v>
      </c>
      <c r="Y17" s="198"/>
    </row>
    <row r="18">
      <c r="A18" s="200"/>
      <c r="B18" s="200"/>
      <c r="C18" s="187"/>
      <c r="D18" s="187"/>
      <c r="E18" s="187"/>
      <c r="F18" s="187"/>
      <c r="G18" s="187"/>
      <c r="H18" s="187"/>
      <c r="I18" s="187"/>
      <c r="J18" s="187"/>
      <c r="K18" s="187"/>
      <c r="L18" s="187"/>
      <c r="M18" s="187"/>
      <c r="N18" s="187"/>
      <c r="O18" s="187"/>
      <c r="P18" s="187"/>
      <c r="Q18" s="187"/>
      <c r="R18" s="187"/>
      <c r="S18" s="187"/>
      <c r="T18" s="187"/>
      <c r="U18" s="187"/>
      <c r="V18" s="32"/>
      <c r="W18" s="32"/>
      <c r="X18" s="197" t="s">
        <v>92</v>
      </c>
      <c r="Y18" s="198"/>
    </row>
    <row r="19">
      <c r="A19" s="200"/>
      <c r="B19" s="200"/>
      <c r="C19" s="187"/>
      <c r="D19" s="187"/>
      <c r="E19" s="187"/>
      <c r="F19" s="187"/>
      <c r="G19" s="187"/>
      <c r="H19" s="187"/>
      <c r="I19" s="187"/>
      <c r="J19" s="187"/>
      <c r="K19" s="187"/>
      <c r="L19" s="187"/>
      <c r="M19" s="187"/>
      <c r="N19" s="187"/>
      <c r="O19" s="187"/>
      <c r="P19" s="187"/>
      <c r="Q19" s="187"/>
      <c r="R19" s="187"/>
      <c r="S19" s="187"/>
      <c r="T19" s="187"/>
      <c r="U19" s="187"/>
      <c r="V19" s="32"/>
      <c r="W19" s="32"/>
      <c r="X19" s="197" t="s">
        <v>377</v>
      </c>
      <c r="Y19" s="198"/>
    </row>
    <row r="20">
      <c r="A20" s="200"/>
      <c r="B20" s="200"/>
      <c r="C20" s="187"/>
      <c r="D20" s="187"/>
      <c r="E20" s="187"/>
      <c r="F20" s="187"/>
      <c r="G20" s="187"/>
      <c r="H20" s="187"/>
      <c r="I20" s="187"/>
      <c r="J20" s="187"/>
      <c r="K20" s="187"/>
      <c r="L20" s="187"/>
      <c r="M20" s="187"/>
      <c r="N20" s="187"/>
      <c r="O20" s="187"/>
      <c r="P20" s="187"/>
      <c r="Q20" s="187"/>
      <c r="R20" s="187"/>
      <c r="S20" s="187"/>
      <c r="T20" s="187"/>
      <c r="U20" s="187"/>
      <c r="V20" s="32"/>
      <c r="W20" s="32"/>
      <c r="Y20" s="198"/>
    </row>
    <row r="21" ht="15.75" customHeight="1">
      <c r="A21" s="200"/>
      <c r="B21" s="200"/>
      <c r="C21" s="187"/>
      <c r="D21" s="187"/>
      <c r="E21" s="187"/>
      <c r="F21" s="187"/>
      <c r="G21" s="187"/>
      <c r="H21" s="187"/>
      <c r="I21" s="187"/>
      <c r="J21" s="187"/>
      <c r="K21" s="187"/>
      <c r="L21" s="187"/>
      <c r="M21" s="187"/>
      <c r="N21" s="187"/>
      <c r="O21" s="187"/>
      <c r="P21" s="187"/>
      <c r="Q21" s="187"/>
      <c r="R21" s="187"/>
      <c r="S21" s="187"/>
      <c r="T21" s="187"/>
      <c r="U21" s="187"/>
      <c r="V21" s="32"/>
      <c r="W21" s="32"/>
      <c r="Y21" s="198"/>
    </row>
    <row r="22" ht="15.75" customHeight="1">
      <c r="A22" s="200"/>
      <c r="B22" s="200"/>
      <c r="C22" s="187"/>
      <c r="D22" s="187"/>
      <c r="E22" s="187"/>
      <c r="F22" s="187"/>
      <c r="G22" s="187"/>
      <c r="H22" s="187"/>
      <c r="I22" s="187"/>
      <c r="J22" s="187"/>
      <c r="K22" s="187"/>
      <c r="L22" s="187"/>
      <c r="M22" s="187"/>
      <c r="N22" s="187"/>
      <c r="O22" s="187"/>
      <c r="P22" s="187"/>
      <c r="Q22" s="187"/>
      <c r="R22" s="187"/>
      <c r="S22" s="187"/>
      <c r="T22" s="187"/>
      <c r="U22" s="187"/>
      <c r="V22" s="32"/>
      <c r="W22" s="32"/>
      <c r="Y22" s="198"/>
    </row>
    <row r="23" ht="15.75" customHeight="1">
      <c r="A23" s="200"/>
      <c r="B23" s="200"/>
      <c r="C23" s="187"/>
      <c r="D23" s="187"/>
      <c r="E23" s="187"/>
      <c r="F23" s="187"/>
      <c r="G23" s="187"/>
      <c r="H23" s="187"/>
      <c r="I23" s="187"/>
      <c r="J23" s="187"/>
      <c r="K23" s="187"/>
      <c r="L23" s="187"/>
      <c r="M23" s="187"/>
      <c r="N23" s="187"/>
      <c r="O23" s="187"/>
      <c r="P23" s="187"/>
      <c r="Q23" s="187"/>
      <c r="R23" s="187"/>
      <c r="S23" s="187"/>
      <c r="T23" s="187"/>
      <c r="U23" s="187"/>
      <c r="V23" s="32"/>
      <c r="W23" s="32"/>
      <c r="Y23" s="198"/>
    </row>
    <row r="24" ht="15.75" customHeight="1">
      <c r="A24" s="200"/>
      <c r="B24" s="200"/>
      <c r="C24" s="187"/>
      <c r="D24" s="187"/>
      <c r="E24" s="187"/>
      <c r="F24" s="187"/>
      <c r="G24" s="187"/>
      <c r="H24" s="187"/>
      <c r="I24" s="187"/>
      <c r="J24" s="187"/>
      <c r="K24" s="187"/>
      <c r="L24" s="187"/>
      <c r="M24" s="187"/>
      <c r="N24" s="187"/>
      <c r="O24" s="187"/>
      <c r="P24" s="187"/>
      <c r="Q24" s="187"/>
      <c r="R24" s="187"/>
      <c r="S24" s="187"/>
      <c r="T24" s="187"/>
      <c r="U24" s="187"/>
      <c r="V24" s="32"/>
      <c r="W24" s="32"/>
      <c r="Y24" s="198"/>
    </row>
    <row r="25" ht="15.75" customHeight="1">
      <c r="A25" s="200"/>
      <c r="B25" s="200"/>
      <c r="C25" s="187"/>
      <c r="D25" s="187"/>
      <c r="E25" s="187"/>
      <c r="F25" s="187"/>
      <c r="G25" s="187"/>
      <c r="H25" s="187"/>
      <c r="I25" s="187"/>
      <c r="J25" s="187"/>
      <c r="K25" s="187"/>
      <c r="L25" s="187"/>
      <c r="M25" s="187"/>
      <c r="N25" s="187"/>
      <c r="O25" s="187"/>
      <c r="P25" s="187"/>
      <c r="Q25" s="187"/>
      <c r="R25" s="187"/>
      <c r="S25" s="187"/>
      <c r="T25" s="187"/>
      <c r="U25" s="187"/>
      <c r="V25" s="32"/>
      <c r="W25" s="32"/>
      <c r="Y25" s="198"/>
    </row>
    <row r="26" ht="15.75" customHeight="1">
      <c r="A26" s="200"/>
      <c r="B26" s="200"/>
      <c r="C26" s="187"/>
      <c r="D26" s="187"/>
      <c r="E26" s="187"/>
      <c r="F26" s="187"/>
      <c r="G26" s="187"/>
      <c r="H26" s="187"/>
      <c r="I26" s="187"/>
      <c r="J26" s="187"/>
      <c r="K26" s="187"/>
      <c r="L26" s="187"/>
      <c r="M26" s="187"/>
      <c r="N26" s="187"/>
      <c r="O26" s="187"/>
      <c r="P26" s="187"/>
      <c r="Q26" s="187"/>
      <c r="R26" s="187"/>
      <c r="S26" s="187"/>
      <c r="T26" s="187"/>
      <c r="U26" s="187"/>
      <c r="V26" s="32"/>
      <c r="W26" s="32"/>
      <c r="Y26" s="198"/>
    </row>
    <row r="27" ht="15.75" customHeight="1">
      <c r="A27" s="200"/>
      <c r="B27" s="200"/>
      <c r="C27" s="187"/>
      <c r="D27" s="187"/>
      <c r="E27" s="187"/>
      <c r="F27" s="187"/>
      <c r="G27" s="187"/>
      <c r="H27" s="187"/>
      <c r="I27" s="187"/>
      <c r="J27" s="187"/>
      <c r="K27" s="187"/>
      <c r="L27" s="187"/>
      <c r="M27" s="187"/>
      <c r="N27" s="187"/>
      <c r="O27" s="187"/>
      <c r="P27" s="187"/>
      <c r="Q27" s="187"/>
      <c r="R27" s="187"/>
      <c r="S27" s="187"/>
      <c r="T27" s="187"/>
      <c r="U27" s="187"/>
      <c r="V27" s="32"/>
      <c r="W27" s="32"/>
      <c r="Y27" s="198"/>
    </row>
    <row r="28" ht="15.75" customHeight="1">
      <c r="A28" s="200"/>
      <c r="B28" s="200"/>
      <c r="C28" s="187"/>
      <c r="D28" s="187"/>
      <c r="E28" s="187"/>
      <c r="F28" s="187"/>
      <c r="G28" s="187"/>
      <c r="H28" s="187"/>
      <c r="I28" s="187"/>
      <c r="J28" s="187"/>
      <c r="K28" s="187"/>
      <c r="L28" s="187"/>
      <c r="M28" s="187"/>
      <c r="N28" s="187"/>
      <c r="O28" s="187"/>
      <c r="P28" s="187"/>
      <c r="Q28" s="187"/>
      <c r="R28" s="187"/>
      <c r="S28" s="187"/>
      <c r="T28" s="187"/>
      <c r="U28" s="187"/>
      <c r="V28" s="32"/>
      <c r="W28" s="32"/>
      <c r="Y28" s="198"/>
    </row>
    <row r="29" ht="15.75" customHeight="1">
      <c r="A29" s="200"/>
      <c r="B29" s="200"/>
      <c r="C29" s="187"/>
      <c r="D29" s="187"/>
      <c r="E29" s="187"/>
      <c r="F29" s="187"/>
      <c r="G29" s="187"/>
      <c r="H29" s="187"/>
      <c r="I29" s="187"/>
      <c r="J29" s="187"/>
      <c r="K29" s="187"/>
      <c r="L29" s="187"/>
      <c r="M29" s="187"/>
      <c r="N29" s="187"/>
      <c r="O29" s="187"/>
      <c r="P29" s="187"/>
      <c r="Q29" s="187"/>
      <c r="R29" s="187"/>
      <c r="S29" s="187"/>
      <c r="T29" s="187"/>
      <c r="U29" s="187"/>
      <c r="V29" s="32"/>
      <c r="W29" s="32"/>
      <c r="X29" s="32"/>
      <c r="Y29" s="198"/>
    </row>
    <row r="30" ht="15.75" customHeight="1">
      <c r="A30" s="200"/>
      <c r="B30" s="200"/>
      <c r="C30" s="187"/>
      <c r="D30" s="187"/>
      <c r="E30" s="187"/>
      <c r="F30" s="187"/>
      <c r="G30" s="187"/>
      <c r="H30" s="187"/>
      <c r="I30" s="187"/>
      <c r="J30" s="187"/>
      <c r="K30" s="187"/>
      <c r="L30" s="187"/>
      <c r="M30" s="187"/>
      <c r="N30" s="187"/>
      <c r="O30" s="187"/>
      <c r="P30" s="187"/>
      <c r="Q30" s="187"/>
      <c r="R30" s="187"/>
      <c r="S30" s="187"/>
      <c r="T30" s="187"/>
      <c r="U30" s="187"/>
      <c r="V30" s="32"/>
      <c r="W30" s="32"/>
      <c r="X30" s="32"/>
      <c r="Y30" s="198"/>
    </row>
    <row r="31" ht="15.75" customHeight="1">
      <c r="A31" s="200"/>
      <c r="B31" s="200"/>
      <c r="C31" s="187"/>
      <c r="D31" s="187"/>
      <c r="E31" s="187"/>
      <c r="F31" s="187"/>
      <c r="G31" s="187"/>
      <c r="H31" s="187"/>
      <c r="I31" s="187"/>
      <c r="J31" s="187"/>
      <c r="K31" s="187"/>
      <c r="L31" s="187"/>
      <c r="M31" s="187"/>
      <c r="N31" s="187"/>
      <c r="O31" s="187"/>
      <c r="P31" s="187"/>
      <c r="Q31" s="187"/>
      <c r="R31" s="187"/>
      <c r="S31" s="187"/>
      <c r="T31" s="187"/>
      <c r="U31" s="187"/>
      <c r="V31" s="32"/>
      <c r="W31" s="32"/>
      <c r="X31" s="32"/>
      <c r="Y31" s="198"/>
    </row>
    <row r="32" ht="15.75" customHeight="1">
      <c r="A32" s="200"/>
      <c r="B32" s="200"/>
      <c r="C32" s="187"/>
      <c r="D32" s="187"/>
      <c r="E32" s="187"/>
      <c r="F32" s="187"/>
      <c r="G32" s="187"/>
      <c r="H32" s="187"/>
      <c r="I32" s="187"/>
      <c r="J32" s="187"/>
      <c r="K32" s="187"/>
      <c r="L32" s="187"/>
      <c r="M32" s="187"/>
      <c r="N32" s="187"/>
      <c r="O32" s="187"/>
      <c r="P32" s="187"/>
      <c r="Q32" s="187"/>
      <c r="R32" s="187"/>
      <c r="S32" s="187"/>
      <c r="T32" s="187"/>
      <c r="U32" s="187"/>
      <c r="V32" s="32"/>
      <c r="W32" s="32"/>
      <c r="X32" s="32"/>
      <c r="Y32" s="198"/>
    </row>
    <row r="33" ht="15.75" customHeight="1">
      <c r="A33" s="200"/>
      <c r="B33" s="200"/>
      <c r="C33" s="187"/>
      <c r="D33" s="187"/>
      <c r="E33" s="187"/>
      <c r="F33" s="187"/>
      <c r="G33" s="187"/>
      <c r="H33" s="187"/>
      <c r="I33" s="187"/>
      <c r="J33" s="187"/>
      <c r="K33" s="187"/>
      <c r="L33" s="187"/>
      <c r="M33" s="187"/>
      <c r="N33" s="187"/>
      <c r="O33" s="187"/>
      <c r="P33" s="187"/>
      <c r="Q33" s="187"/>
      <c r="R33" s="187"/>
      <c r="S33" s="187"/>
      <c r="T33" s="187"/>
      <c r="U33" s="187"/>
      <c r="V33" s="32"/>
      <c r="W33" s="32"/>
      <c r="X33" s="32"/>
      <c r="Y33" s="198"/>
    </row>
    <row r="34" ht="15.75" customHeight="1">
      <c r="A34" s="200"/>
      <c r="B34" s="200"/>
      <c r="C34" s="187"/>
      <c r="D34" s="187"/>
      <c r="E34" s="187"/>
      <c r="F34" s="187"/>
      <c r="G34" s="187"/>
      <c r="H34" s="187"/>
      <c r="I34" s="187"/>
      <c r="J34" s="187"/>
      <c r="K34" s="187"/>
      <c r="L34" s="187"/>
      <c r="M34" s="187"/>
      <c r="N34" s="187"/>
      <c r="O34" s="187"/>
      <c r="P34" s="187"/>
      <c r="Q34" s="187"/>
      <c r="R34" s="187"/>
      <c r="S34" s="187"/>
      <c r="T34" s="187"/>
      <c r="U34" s="187"/>
      <c r="V34" s="32"/>
      <c r="W34" s="32"/>
      <c r="X34" s="32"/>
      <c r="Y34" s="198"/>
    </row>
    <row r="35" ht="15.75" customHeight="1">
      <c r="A35" s="200"/>
      <c r="B35" s="200"/>
      <c r="C35" s="187"/>
      <c r="D35" s="187"/>
      <c r="E35" s="187"/>
      <c r="F35" s="187"/>
      <c r="G35" s="187"/>
      <c r="H35" s="187"/>
      <c r="I35" s="187"/>
      <c r="J35" s="187"/>
      <c r="K35" s="187"/>
      <c r="L35" s="187"/>
      <c r="M35" s="187"/>
      <c r="N35" s="187"/>
      <c r="O35" s="187"/>
      <c r="P35" s="187"/>
      <c r="Q35" s="187"/>
      <c r="R35" s="187"/>
      <c r="S35" s="187"/>
      <c r="T35" s="187"/>
      <c r="U35" s="187"/>
      <c r="V35" s="32"/>
      <c r="W35" s="32"/>
      <c r="X35" s="32"/>
      <c r="Y35" s="198"/>
    </row>
    <row r="36" ht="15.75" customHeight="1">
      <c r="A36" s="200"/>
      <c r="B36" s="200"/>
      <c r="C36" s="187"/>
      <c r="D36" s="187"/>
      <c r="E36" s="187"/>
      <c r="F36" s="187"/>
      <c r="G36" s="187"/>
      <c r="H36" s="187"/>
      <c r="I36" s="187"/>
      <c r="J36" s="187"/>
      <c r="K36" s="187"/>
      <c r="L36" s="187"/>
      <c r="M36" s="187"/>
      <c r="N36" s="187"/>
      <c r="O36" s="187"/>
      <c r="P36" s="187"/>
      <c r="Q36" s="187"/>
      <c r="R36" s="187"/>
      <c r="S36" s="187"/>
      <c r="T36" s="187"/>
      <c r="U36" s="187"/>
      <c r="V36" s="32"/>
      <c r="W36" s="32"/>
      <c r="X36" s="32"/>
      <c r="Y36" s="198"/>
    </row>
    <row r="37" ht="15.75" customHeight="1">
      <c r="A37" s="200"/>
      <c r="B37" s="200"/>
      <c r="C37" s="187"/>
      <c r="D37" s="187"/>
      <c r="E37" s="187"/>
      <c r="F37" s="187"/>
      <c r="G37" s="187"/>
      <c r="H37" s="187"/>
      <c r="I37" s="187"/>
      <c r="J37" s="187"/>
      <c r="K37" s="187"/>
      <c r="L37" s="187"/>
      <c r="M37" s="187"/>
      <c r="N37" s="187"/>
      <c r="O37" s="187"/>
      <c r="P37" s="187"/>
      <c r="Q37" s="187"/>
      <c r="R37" s="187"/>
      <c r="S37" s="187"/>
      <c r="T37" s="187"/>
      <c r="U37" s="187"/>
      <c r="V37" s="32"/>
      <c r="W37" s="32"/>
      <c r="X37" s="32"/>
      <c r="Y37" s="198"/>
    </row>
    <row r="38" ht="15.75" customHeight="1">
      <c r="A38" s="200"/>
      <c r="B38" s="200"/>
      <c r="C38" s="187"/>
      <c r="D38" s="187"/>
      <c r="E38" s="187"/>
      <c r="F38" s="187"/>
      <c r="G38" s="187"/>
      <c r="H38" s="187"/>
      <c r="I38" s="187"/>
      <c r="J38" s="187"/>
      <c r="K38" s="187"/>
      <c r="L38" s="187"/>
      <c r="M38" s="187"/>
      <c r="N38" s="187"/>
      <c r="O38" s="187"/>
      <c r="P38" s="187"/>
      <c r="Q38" s="187"/>
      <c r="R38" s="187"/>
      <c r="S38" s="187"/>
      <c r="T38" s="187"/>
      <c r="U38" s="187"/>
      <c r="V38" s="32"/>
      <c r="W38" s="32"/>
      <c r="X38" s="32"/>
      <c r="Y38" s="198"/>
    </row>
    <row r="39" ht="15.75" customHeight="1">
      <c r="A39" s="200"/>
      <c r="B39" s="200"/>
      <c r="C39" s="187"/>
      <c r="D39" s="187"/>
      <c r="E39" s="187"/>
      <c r="F39" s="187"/>
      <c r="G39" s="187"/>
      <c r="H39" s="187"/>
      <c r="I39" s="187"/>
      <c r="J39" s="187"/>
      <c r="K39" s="187"/>
      <c r="L39" s="187"/>
      <c r="M39" s="187"/>
      <c r="N39" s="187"/>
      <c r="O39" s="187"/>
      <c r="P39" s="187"/>
      <c r="Q39" s="187"/>
      <c r="R39" s="187"/>
      <c r="S39" s="187"/>
      <c r="T39" s="187"/>
      <c r="U39" s="187"/>
      <c r="V39" s="32"/>
      <c r="W39" s="32"/>
      <c r="X39" s="32"/>
      <c r="Y39" s="198"/>
    </row>
    <row r="40" ht="15.75" customHeight="1">
      <c r="A40" s="200"/>
      <c r="B40" s="200"/>
      <c r="C40" s="187"/>
      <c r="D40" s="187"/>
      <c r="E40" s="187"/>
      <c r="F40" s="187"/>
      <c r="G40" s="187"/>
      <c r="H40" s="187"/>
      <c r="I40" s="187"/>
      <c r="J40" s="187"/>
      <c r="K40" s="187"/>
      <c r="L40" s="187"/>
      <c r="M40" s="187"/>
      <c r="N40" s="187"/>
      <c r="O40" s="187"/>
      <c r="P40" s="187"/>
      <c r="Q40" s="187"/>
      <c r="R40" s="187"/>
      <c r="S40" s="187"/>
      <c r="T40" s="187"/>
      <c r="U40" s="187"/>
      <c r="V40" s="32"/>
      <c r="W40" s="32"/>
      <c r="X40" s="32"/>
      <c r="Y40" s="198"/>
    </row>
    <row r="41" ht="15.75" customHeight="1">
      <c r="A41" s="200"/>
      <c r="B41" s="200"/>
      <c r="C41" s="187"/>
      <c r="D41" s="187"/>
      <c r="E41" s="187"/>
      <c r="F41" s="187"/>
      <c r="G41" s="187"/>
      <c r="H41" s="187"/>
      <c r="I41" s="187"/>
      <c r="J41" s="187"/>
      <c r="K41" s="187"/>
      <c r="L41" s="187"/>
      <c r="M41" s="187"/>
      <c r="N41" s="187"/>
      <c r="O41" s="187"/>
      <c r="P41" s="187"/>
      <c r="Q41" s="187"/>
      <c r="R41" s="187"/>
      <c r="S41" s="187"/>
      <c r="T41" s="187"/>
      <c r="U41" s="187"/>
      <c r="V41" s="32"/>
      <c r="W41" s="32"/>
      <c r="X41" s="32"/>
      <c r="Y41" s="198"/>
    </row>
    <row r="42" ht="15.75" customHeight="1">
      <c r="A42" s="200"/>
      <c r="B42" s="200"/>
      <c r="C42" s="187"/>
      <c r="D42" s="187"/>
      <c r="E42" s="187"/>
      <c r="F42" s="187"/>
      <c r="G42" s="187"/>
      <c r="H42" s="187"/>
      <c r="I42" s="187"/>
      <c r="J42" s="187"/>
      <c r="K42" s="187"/>
      <c r="L42" s="187"/>
      <c r="M42" s="187"/>
      <c r="N42" s="187"/>
      <c r="O42" s="187"/>
      <c r="P42" s="187"/>
      <c r="Q42" s="187"/>
      <c r="R42" s="187"/>
      <c r="S42" s="187"/>
      <c r="T42" s="187"/>
      <c r="U42" s="187"/>
      <c r="V42" s="32"/>
      <c r="W42" s="32"/>
      <c r="X42" s="32"/>
      <c r="Y42" s="198"/>
    </row>
    <row r="43" ht="15.75" customHeight="1">
      <c r="A43" s="200"/>
      <c r="B43" s="200"/>
      <c r="C43" s="187"/>
      <c r="D43" s="187"/>
      <c r="E43" s="187"/>
      <c r="F43" s="187"/>
      <c r="G43" s="187"/>
      <c r="H43" s="187"/>
      <c r="I43" s="187"/>
      <c r="J43" s="187"/>
      <c r="K43" s="187"/>
      <c r="L43" s="187"/>
      <c r="M43" s="187"/>
      <c r="N43" s="187"/>
      <c r="O43" s="187"/>
      <c r="P43" s="187"/>
      <c r="Q43" s="187"/>
      <c r="R43" s="187"/>
      <c r="S43" s="187"/>
      <c r="T43" s="187"/>
      <c r="U43" s="187"/>
      <c r="V43" s="32"/>
      <c r="W43" s="32"/>
      <c r="X43" s="32"/>
      <c r="Y43" s="198"/>
    </row>
    <row r="44" ht="15.75" customHeight="1">
      <c r="A44" s="200"/>
      <c r="B44" s="200"/>
      <c r="C44" s="187"/>
      <c r="D44" s="187"/>
      <c r="E44" s="187"/>
      <c r="F44" s="187"/>
      <c r="G44" s="187"/>
      <c r="H44" s="187"/>
      <c r="I44" s="187"/>
      <c r="J44" s="187"/>
      <c r="K44" s="187"/>
      <c r="L44" s="187"/>
      <c r="M44" s="187"/>
      <c r="N44" s="187"/>
      <c r="O44" s="187"/>
      <c r="P44" s="187"/>
      <c r="Q44" s="187"/>
      <c r="R44" s="187"/>
      <c r="S44" s="187"/>
      <c r="T44" s="187"/>
      <c r="U44" s="187"/>
      <c r="V44" s="32"/>
      <c r="W44" s="32"/>
      <c r="X44" s="32"/>
      <c r="Y44" s="198"/>
    </row>
    <row r="45" ht="15.75" customHeight="1">
      <c r="A45" s="200"/>
      <c r="B45" s="200"/>
      <c r="C45" s="187"/>
      <c r="D45" s="187"/>
      <c r="E45" s="187"/>
      <c r="F45" s="187"/>
      <c r="G45" s="187"/>
      <c r="H45" s="187"/>
      <c r="I45" s="187"/>
      <c r="J45" s="187"/>
      <c r="K45" s="187"/>
      <c r="L45" s="187"/>
      <c r="M45" s="187"/>
      <c r="N45" s="187"/>
      <c r="O45" s="187"/>
      <c r="P45" s="187"/>
      <c r="Q45" s="187"/>
      <c r="R45" s="187"/>
      <c r="S45" s="187"/>
      <c r="T45" s="187"/>
      <c r="U45" s="187"/>
      <c r="V45" s="32"/>
      <c r="W45" s="32"/>
      <c r="X45" s="32"/>
      <c r="Y45" s="198"/>
    </row>
    <row r="46" ht="15.75" customHeight="1">
      <c r="A46" s="200"/>
      <c r="B46" s="200"/>
      <c r="C46" s="187"/>
      <c r="D46" s="187"/>
      <c r="E46" s="187"/>
      <c r="F46" s="187"/>
      <c r="G46" s="187"/>
      <c r="H46" s="187"/>
      <c r="I46" s="187"/>
      <c r="J46" s="187"/>
      <c r="K46" s="187"/>
      <c r="L46" s="187"/>
      <c r="M46" s="187"/>
      <c r="N46" s="187"/>
      <c r="O46" s="187"/>
      <c r="P46" s="187"/>
      <c r="Q46" s="187"/>
      <c r="R46" s="187"/>
      <c r="S46" s="187"/>
      <c r="T46" s="187"/>
      <c r="U46" s="187"/>
      <c r="V46" s="32"/>
      <c r="W46" s="32"/>
      <c r="X46" s="32"/>
      <c r="Y46" s="198"/>
    </row>
    <row r="47" ht="15.75" customHeight="1">
      <c r="A47" s="200"/>
      <c r="B47" s="200"/>
      <c r="C47" s="187"/>
      <c r="D47" s="187"/>
      <c r="E47" s="187"/>
      <c r="F47" s="187"/>
      <c r="G47" s="187"/>
      <c r="H47" s="187"/>
      <c r="I47" s="187"/>
      <c r="J47" s="187"/>
      <c r="K47" s="187"/>
      <c r="L47" s="187"/>
      <c r="M47" s="187"/>
      <c r="N47" s="187"/>
      <c r="O47" s="187"/>
      <c r="P47" s="187"/>
      <c r="Q47" s="187"/>
      <c r="R47" s="187"/>
      <c r="S47" s="187"/>
      <c r="T47" s="187"/>
      <c r="U47" s="187"/>
      <c r="V47" s="32"/>
      <c r="W47" s="32"/>
      <c r="X47" s="32"/>
      <c r="Y47" s="198"/>
    </row>
    <row r="48" ht="15.75" customHeight="1">
      <c r="A48" s="200"/>
      <c r="B48" s="200"/>
      <c r="C48" s="187"/>
      <c r="D48" s="187"/>
      <c r="E48" s="187"/>
      <c r="F48" s="187"/>
      <c r="G48" s="187"/>
      <c r="H48" s="187"/>
      <c r="I48" s="187"/>
      <c r="J48" s="187"/>
      <c r="K48" s="187"/>
      <c r="L48" s="187"/>
      <c r="M48" s="187"/>
      <c r="N48" s="187"/>
      <c r="O48" s="187"/>
      <c r="P48" s="187"/>
      <c r="Q48" s="187"/>
      <c r="R48" s="187"/>
      <c r="S48" s="187"/>
      <c r="T48" s="187"/>
      <c r="U48" s="187"/>
      <c r="V48" s="32"/>
      <c r="W48" s="32"/>
      <c r="X48" s="32"/>
      <c r="Y48" s="198"/>
    </row>
    <row r="49" ht="15.75" customHeight="1">
      <c r="A49" s="200"/>
      <c r="B49" s="200"/>
      <c r="C49" s="187"/>
      <c r="D49" s="187"/>
      <c r="E49" s="187"/>
      <c r="F49" s="187"/>
      <c r="G49" s="187"/>
      <c r="H49" s="187"/>
      <c r="I49" s="187"/>
      <c r="J49" s="187"/>
      <c r="K49" s="187"/>
      <c r="L49" s="187"/>
      <c r="M49" s="187"/>
      <c r="N49" s="187"/>
      <c r="O49" s="187"/>
      <c r="P49" s="187"/>
      <c r="Q49" s="187"/>
      <c r="R49" s="187"/>
      <c r="S49" s="187"/>
      <c r="T49" s="187"/>
      <c r="U49" s="187"/>
      <c r="V49" s="32"/>
      <c r="W49" s="32"/>
      <c r="X49" s="32"/>
      <c r="Y49" s="198"/>
    </row>
    <row r="50" ht="15.75" customHeight="1">
      <c r="A50" s="200"/>
      <c r="B50" s="200"/>
      <c r="C50" s="187"/>
      <c r="D50" s="187"/>
      <c r="E50" s="187"/>
      <c r="F50" s="187"/>
      <c r="G50" s="187"/>
      <c r="H50" s="187"/>
      <c r="I50" s="187"/>
      <c r="J50" s="187"/>
      <c r="K50" s="187"/>
      <c r="L50" s="187"/>
      <c r="M50" s="187"/>
      <c r="N50" s="187"/>
      <c r="O50" s="187"/>
      <c r="P50" s="187"/>
      <c r="Q50" s="187"/>
      <c r="R50" s="187"/>
      <c r="S50" s="187"/>
      <c r="T50" s="187"/>
      <c r="U50" s="187"/>
      <c r="V50" s="32"/>
      <c r="W50" s="32"/>
      <c r="Y50" s="198"/>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Q2:S2"/>
    <mergeCell ref="T2:T3"/>
    <mergeCell ref="U2:U3"/>
    <mergeCell ref="V2:V3"/>
    <mergeCell ref="W2:W3"/>
    <mergeCell ref="X2:X3"/>
    <mergeCell ref="A2:A3"/>
    <mergeCell ref="B2:B3"/>
    <mergeCell ref="C2:C3"/>
    <mergeCell ref="D2:F2"/>
    <mergeCell ref="G2:I2"/>
    <mergeCell ref="J2:L2"/>
    <mergeCell ref="M2:O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2023-06-30T12:37:34Z</dcterms:created>
  <dc:creator>HP</dc:creator>
</cp:coreProperties>
</file>